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ovan\Rsoccer\"/>
    </mc:Choice>
  </mc:AlternateContent>
  <xr:revisionPtr revIDLastSave="0" documentId="13_ncr:1_{B510F529-3EEB-457B-8108-952617E7F56B}" xr6:coauthVersionLast="45" xr6:coauthVersionMax="45" xr10:uidLastSave="{00000000-0000-0000-0000-000000000000}"/>
  <bookViews>
    <workbookView xWindow="-120" yWindow="-120" windowWidth="25440" windowHeight="1539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X3" i="1" l="1"/>
  <c r="AX4" i="1"/>
  <c r="AX5" i="1"/>
  <c r="AX6" i="1"/>
  <c r="AX7" i="1"/>
  <c r="AX8" i="1"/>
  <c r="AX9" i="1"/>
  <c r="AX10" i="1"/>
  <c r="AX11" i="1"/>
  <c r="AX12" i="1"/>
  <c r="AX13" i="1"/>
  <c r="AX14" i="1"/>
  <c r="AX15" i="1"/>
  <c r="AX16" i="1"/>
  <c r="AX17" i="1"/>
  <c r="AX18" i="1"/>
  <c r="AX19" i="1"/>
  <c r="AX20" i="1"/>
  <c r="AX21" i="1"/>
  <c r="AX22" i="1"/>
  <c r="AX23" i="1"/>
  <c r="AX24" i="1"/>
  <c r="AX25" i="1"/>
  <c r="AX26" i="1"/>
  <c r="AX27" i="1"/>
  <c r="AX28" i="1"/>
  <c r="AX29" i="1"/>
  <c r="AX30" i="1"/>
  <c r="AX31" i="1"/>
  <c r="AX32" i="1"/>
  <c r="AX33" i="1"/>
  <c r="AX34" i="1"/>
  <c r="AX35" i="1"/>
  <c r="AX36" i="1"/>
  <c r="AX37" i="1"/>
  <c r="AX38" i="1"/>
  <c r="AX39" i="1"/>
  <c r="AX40" i="1"/>
  <c r="AX41" i="1"/>
  <c r="AX42" i="1"/>
  <c r="AX43" i="1"/>
  <c r="AX44" i="1"/>
  <c r="AX45" i="1"/>
  <c r="AX46" i="1"/>
  <c r="AX47" i="1"/>
  <c r="AX48" i="1"/>
  <c r="AX49" i="1"/>
  <c r="AX50" i="1"/>
  <c r="AX51" i="1"/>
  <c r="AX52" i="1"/>
  <c r="AX53" i="1"/>
  <c r="AX54" i="1"/>
  <c r="AX55" i="1"/>
  <c r="AX2" i="1"/>
  <c r="AW3" i="1"/>
  <c r="AW4" i="1"/>
  <c r="AW5" i="1"/>
  <c r="AW6" i="1"/>
  <c r="AW7" i="1"/>
  <c r="AW8" i="1"/>
  <c r="AW9" i="1"/>
  <c r="AW10" i="1"/>
  <c r="AW11" i="1"/>
  <c r="AW12" i="1"/>
  <c r="AW13" i="1"/>
  <c r="AW14" i="1"/>
  <c r="AW15" i="1"/>
  <c r="AW16" i="1"/>
  <c r="AW17" i="1"/>
  <c r="AW18" i="1"/>
  <c r="AW19" i="1"/>
  <c r="AW20" i="1"/>
  <c r="AW21" i="1"/>
  <c r="AW22" i="1"/>
  <c r="AW23" i="1"/>
  <c r="AW24" i="1"/>
  <c r="AW25" i="1"/>
  <c r="AW26" i="1"/>
  <c r="AW27" i="1"/>
  <c r="AW28" i="1"/>
  <c r="AW29" i="1"/>
  <c r="AW30" i="1"/>
  <c r="AW31" i="1"/>
  <c r="AW32" i="1"/>
  <c r="AW33" i="1"/>
  <c r="AW34" i="1"/>
  <c r="AW35" i="1"/>
  <c r="AW36" i="1"/>
  <c r="AW37" i="1"/>
  <c r="AW38" i="1"/>
  <c r="AW39" i="1"/>
  <c r="AW40" i="1"/>
  <c r="AW41" i="1"/>
  <c r="AW42" i="1"/>
  <c r="AW43" i="1"/>
  <c r="AW44" i="1"/>
  <c r="AW45" i="1"/>
  <c r="AW46" i="1"/>
  <c r="AW47" i="1"/>
  <c r="AW48" i="1"/>
  <c r="AW49" i="1"/>
  <c r="AW50" i="1"/>
  <c r="AW51" i="1"/>
  <c r="AW52" i="1"/>
  <c r="AW53" i="1"/>
  <c r="AW54" i="1"/>
  <c r="AW55" i="1"/>
  <c r="AW2" i="1"/>
  <c r="AV3" i="1"/>
  <c r="AV4" i="1"/>
  <c r="AV5" i="1"/>
  <c r="AV6" i="1"/>
  <c r="AV7" i="1"/>
  <c r="AV8" i="1"/>
  <c r="AV9" i="1"/>
  <c r="AV10" i="1"/>
  <c r="AV11" i="1"/>
  <c r="AV12" i="1"/>
  <c r="AV13" i="1"/>
  <c r="AV14" i="1"/>
  <c r="AV15" i="1"/>
  <c r="AV16" i="1"/>
  <c r="AV17" i="1"/>
  <c r="AV18" i="1"/>
  <c r="AV19" i="1"/>
  <c r="AV20" i="1"/>
  <c r="AV21" i="1"/>
  <c r="AV22" i="1"/>
  <c r="AV23" i="1"/>
  <c r="AV24" i="1"/>
  <c r="AV25" i="1"/>
  <c r="AV26" i="1"/>
  <c r="AV27" i="1"/>
  <c r="AV28" i="1"/>
  <c r="AV29" i="1"/>
  <c r="AV30" i="1"/>
  <c r="AV31" i="1"/>
  <c r="AV32" i="1"/>
  <c r="AV33" i="1"/>
  <c r="AV34" i="1"/>
  <c r="AV35" i="1"/>
  <c r="AV36" i="1"/>
  <c r="AV37" i="1"/>
  <c r="AV38" i="1"/>
  <c r="AV39" i="1"/>
  <c r="AV40" i="1"/>
  <c r="AV41" i="1"/>
  <c r="AV42" i="1"/>
  <c r="AV43" i="1"/>
  <c r="AV44" i="1"/>
  <c r="AV45" i="1"/>
  <c r="AV46" i="1"/>
  <c r="AV47" i="1"/>
  <c r="AV48" i="1"/>
  <c r="AV49" i="1"/>
  <c r="AV50" i="1"/>
  <c r="AV51" i="1"/>
  <c r="AV52" i="1"/>
  <c r="AV53" i="1"/>
  <c r="AV54" i="1"/>
  <c r="AV55" i="1"/>
  <c r="AV2" i="1"/>
  <c r="AT3" i="1"/>
  <c r="AT4" i="1"/>
  <c r="AT5" i="1"/>
  <c r="AT6" i="1"/>
  <c r="AT7" i="1"/>
  <c r="AT8" i="1"/>
  <c r="AT9" i="1"/>
  <c r="AT10" i="1"/>
  <c r="AT11" i="1"/>
  <c r="AT12" i="1"/>
  <c r="AT13" i="1"/>
  <c r="AT14" i="1"/>
  <c r="AT15" i="1"/>
  <c r="AT16" i="1"/>
  <c r="AT17" i="1"/>
  <c r="AT18" i="1"/>
  <c r="AT19" i="1"/>
  <c r="AT20" i="1"/>
  <c r="AT21" i="1"/>
  <c r="AT22" i="1"/>
  <c r="AT23" i="1"/>
  <c r="AT24" i="1"/>
  <c r="AT25" i="1"/>
  <c r="AT26" i="1"/>
  <c r="AT27" i="1"/>
  <c r="AT28" i="1"/>
  <c r="AT29" i="1"/>
  <c r="AT30" i="1"/>
  <c r="AT31" i="1"/>
  <c r="AT32" i="1"/>
  <c r="AT33" i="1"/>
  <c r="AT34" i="1"/>
  <c r="AT35" i="1"/>
  <c r="AT36" i="1"/>
  <c r="AT37" i="1"/>
  <c r="AT38" i="1"/>
  <c r="AT39" i="1"/>
  <c r="AT40" i="1"/>
  <c r="AT41" i="1"/>
  <c r="AT42" i="1"/>
  <c r="AT43" i="1"/>
  <c r="AT44" i="1"/>
  <c r="AT45" i="1"/>
  <c r="AT46" i="1"/>
  <c r="AT47" i="1"/>
  <c r="AT48" i="1"/>
  <c r="AT49" i="1"/>
  <c r="AT50" i="1"/>
  <c r="AT51" i="1"/>
  <c r="AT52" i="1"/>
  <c r="AT53" i="1"/>
  <c r="AT54" i="1"/>
  <c r="AT55" i="1"/>
  <c r="AT2" i="1"/>
</calcChain>
</file>

<file path=xl/sharedStrings.xml><?xml version="1.0" encoding="utf-8"?>
<sst xmlns="http://schemas.openxmlformats.org/spreadsheetml/2006/main" count="752" uniqueCount="242">
  <si>
    <t>Div</t>
  </si>
  <si>
    <t>Date</t>
  </si>
  <si>
    <t>HomeTeam</t>
  </si>
  <si>
    <t>AwayTeam</t>
  </si>
  <si>
    <t>FTHG</t>
  </si>
  <si>
    <t>FTAG</t>
  </si>
  <si>
    <t>FTR</t>
  </si>
  <si>
    <t>HTHG</t>
  </si>
  <si>
    <t>HTAG</t>
  </si>
  <si>
    <t>HTR</t>
  </si>
  <si>
    <t>PSH</t>
  </si>
  <si>
    <t>PSD</t>
  </si>
  <si>
    <t>PSA</t>
  </si>
  <si>
    <t>HTCS</t>
  </si>
  <si>
    <t>CS</t>
  </si>
  <si>
    <t>HS</t>
  </si>
  <si>
    <t>HST</t>
  </si>
  <si>
    <t>AS</t>
  </si>
  <si>
    <t>AST</t>
  </si>
  <si>
    <t>HY</t>
  </si>
  <si>
    <t>AY</t>
  </si>
  <si>
    <t>HR</t>
  </si>
  <si>
    <t>AR</t>
  </si>
  <si>
    <t>HCO</t>
  </si>
  <si>
    <t>ACO</t>
  </si>
  <si>
    <t>HF</t>
  </si>
  <si>
    <t>AF</t>
  </si>
  <si>
    <t>TG</t>
  </si>
  <si>
    <t>TC</t>
  </si>
  <si>
    <t>TF</t>
  </si>
  <si>
    <t>COSC</t>
  </si>
  <si>
    <t>OV15</t>
  </si>
  <si>
    <t>OV25</t>
  </si>
  <si>
    <t>OV35</t>
  </si>
  <si>
    <t>TY</t>
  </si>
  <si>
    <t>TR</t>
  </si>
  <si>
    <t>matchid</t>
  </si>
  <si>
    <t>bundesliga_goalmins</t>
  </si>
  <si>
    <t>n</t>
  </si>
  <si>
    <t>bundesliga_shirts</t>
  </si>
  <si>
    <t>Bookings</t>
  </si>
  <si>
    <t>Crossbookings</t>
  </si>
  <si>
    <t>GoalsXbookings</t>
  </si>
  <si>
    <t>CornersXbookings</t>
  </si>
  <si>
    <t>ShirtsXbookings</t>
  </si>
  <si>
    <t>GoalsXcorners</t>
  </si>
  <si>
    <t>GoalsXshirts</t>
  </si>
  <si>
    <t>ShirtsXcorners</t>
  </si>
  <si>
    <t>TGMXcorners</t>
  </si>
  <si>
    <t>GoalsXcornerXbookings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</si>
  <si>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</si>
  <si>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</si>
  <si>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</si>
  <si>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</si>
  <si>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</si>
  <si>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</si>
  <si>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</si>
  <si>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</si>
  <si>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</si>
  <si>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</si>
  <si>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</si>
  <si>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</si>
  <si>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</si>
  <si>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</si>
  <si>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</si>
  <si>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</si>
  <si>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</si>
  <si>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</si>
  <si>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</si>
  <si>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</si>
  <si>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</si>
  <si>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</si>
  <si>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</si>
  <si>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</si>
  <si>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</si>
  <si>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</si>
  <si>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</si>
  <si>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</si>
  <si>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</si>
  <si>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</si>
  <si>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</si>
  <si>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</si>
  <si>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</si>
  <si>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</si>
  <si>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</si>
  <si>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</si>
  <si>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</si>
  <si>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</si>
  <si>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</si>
  <si>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</si>
  <si>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</si>
  <si>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</si>
  <si>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</si>
  <si>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</si>
  <si>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</si>
  <si>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</si>
  <si>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</si>
  <si>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</si>
  <si>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</si>
  <si>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</si>
  <si>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</si>
  <si>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</si>
  <si>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</si>
  <si>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</si>
  <si>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D1</t>
  </si>
  <si>
    <t>Bayern Munich</t>
  </si>
  <si>
    <t>Ein Frankfurt</t>
  </si>
  <si>
    <t>Freiburg</t>
  </si>
  <si>
    <t>Heidenheim</t>
  </si>
  <si>
    <t>Leverkusen</t>
  </si>
  <si>
    <t>Union Berlin</t>
  </si>
  <si>
    <t>St Pauli</t>
  </si>
  <si>
    <t>Mainz</t>
  </si>
  <si>
    <t>Mgladbach</t>
  </si>
  <si>
    <t>Hamburg</t>
  </si>
  <si>
    <t>Hoffenheim</t>
  </si>
  <si>
    <t>RB Leipzig</t>
  </si>
  <si>
    <t>Stuttgart</t>
  </si>
  <si>
    <t>Werder Bremen</t>
  </si>
  <si>
    <t>Augsburg</t>
  </si>
  <si>
    <t>Wolfsburg</t>
  </si>
  <si>
    <t>Dortmund</t>
  </si>
  <si>
    <t>FC Koln</t>
  </si>
  <si>
    <t>H</t>
  </si>
  <si>
    <t>A</t>
  </si>
  <si>
    <t>D</t>
  </si>
  <si>
    <t>3-0</t>
  </si>
  <si>
    <t>2-0</t>
  </si>
  <si>
    <t>0-3</t>
  </si>
  <si>
    <t>1-1</t>
  </si>
  <si>
    <t>0-1</t>
  </si>
  <si>
    <t>0-0</t>
  </si>
  <si>
    <t>0-2</t>
  </si>
  <si>
    <t>1-2</t>
  </si>
  <si>
    <t>1-0</t>
  </si>
  <si>
    <t>4-0</t>
  </si>
  <si>
    <t>3-1</t>
  </si>
  <si>
    <t>0-5</t>
  </si>
  <si>
    <t>6-0</t>
  </si>
  <si>
    <t>4-1</t>
  </si>
  <si>
    <t>1-3</t>
  </si>
  <si>
    <t>2-1</t>
  </si>
  <si>
    <t>3-3</t>
  </si>
  <si>
    <t>2-3</t>
  </si>
  <si>
    <t>2-4</t>
  </si>
  <si>
    <t>5-0</t>
  </si>
  <si>
    <t>0-4</t>
  </si>
  <si>
    <t>1-4</t>
  </si>
  <si>
    <t>3-4</t>
  </si>
  <si>
    <t>4-6</t>
  </si>
  <si>
    <t>5-5</t>
  </si>
  <si>
    <t>7-1</t>
  </si>
  <si>
    <t>2-5</t>
  </si>
  <si>
    <t>6-4</t>
  </si>
  <si>
    <t>5-11</t>
  </si>
  <si>
    <t>5-2</t>
  </si>
  <si>
    <t>8-3</t>
  </si>
  <si>
    <t>7-6</t>
  </si>
  <si>
    <t>4-5</t>
  </si>
  <si>
    <t>4-3</t>
  </si>
  <si>
    <t>6-10</t>
  </si>
  <si>
    <t>3-7</t>
  </si>
  <si>
    <t>7-5</t>
  </si>
  <si>
    <t>3-10</t>
  </si>
  <si>
    <t>3-5</t>
  </si>
  <si>
    <t>4-8</t>
  </si>
  <si>
    <t>5-4</t>
  </si>
  <si>
    <t>9-2</t>
  </si>
  <si>
    <t>7-4</t>
  </si>
  <si>
    <t>5-3</t>
  </si>
  <si>
    <t>9-4</t>
  </si>
  <si>
    <t>8-4</t>
  </si>
  <si>
    <t>6-6</t>
  </si>
  <si>
    <t>1-12</t>
  </si>
  <si>
    <t>9-5</t>
  </si>
  <si>
    <t>5-1</t>
  </si>
  <si>
    <t>9-3</t>
  </si>
  <si>
    <t>3-2</t>
  </si>
  <si>
    <t>13-1</t>
  </si>
  <si>
    <t>6-11</t>
  </si>
  <si>
    <t>6-8</t>
  </si>
  <si>
    <t>8-8</t>
  </si>
  <si>
    <t>11-6</t>
  </si>
  <si>
    <t>10-5</t>
  </si>
  <si>
    <t>7-7</t>
  </si>
  <si>
    <t>4-4</t>
  </si>
  <si>
    <t>Y</t>
  </si>
  <si>
    <t>N</t>
  </si>
  <si>
    <t>Bayern Munich-RB Leipzig</t>
  </si>
  <si>
    <t>Ein Frankfurt-Werder Bremen</t>
  </si>
  <si>
    <t>Freiburg-Augsburg</t>
  </si>
  <si>
    <t>Heidenheim-Wolfsburg</t>
  </si>
  <si>
    <t>Leverkusen-Hoffenheim</t>
  </si>
  <si>
    <t>Union Berlin-Stuttgart</t>
  </si>
  <si>
    <t>St Pauli-Dortmund</t>
  </si>
  <si>
    <t>Mainz-FC Koln</t>
  </si>
  <si>
    <t>Mgladbach-Hamburg</t>
  </si>
  <si>
    <t>Hamburg-St Pauli</t>
  </si>
  <si>
    <t>Hoffenheim-Ein Frankfurt</t>
  </si>
  <si>
    <t>RB Leipzig-Heidenheim</t>
  </si>
  <si>
    <t>Stuttgart-Mgladbach</t>
  </si>
  <si>
    <t>Werder Bremen-Leverkusen</t>
  </si>
  <si>
    <t>Augsburg-Bayern Munich</t>
  </si>
  <si>
    <t>Wolfsburg-Mainz</t>
  </si>
  <si>
    <t>Dortmund-Union Berlin</t>
  </si>
  <si>
    <t>FC Koln-Freiburg</t>
  </si>
  <si>
    <t>Leverkusen-Ein Frankfurt</t>
  </si>
  <si>
    <t>Freiburg-Stuttgart</t>
  </si>
  <si>
    <t>Heidenheim-Dortmund</t>
  </si>
  <si>
    <t>Mainz-RB Leipzig</t>
  </si>
  <si>
    <t>Union Berlin-Hoffenheim</t>
  </si>
  <si>
    <t>Wolfsburg-FC Koln</t>
  </si>
  <si>
    <t>Bayern Munich-Hamburg</t>
  </si>
  <si>
    <t>St Pauli-Augsburg</t>
  </si>
  <si>
    <t>Mgladbach-Werder Bremen</t>
  </si>
  <si>
    <t>Stuttgart-St Pauli</t>
  </si>
  <si>
    <t>Augsburg-Mainz</t>
  </si>
  <si>
    <t>Hamburg-Heidenheim</t>
  </si>
  <si>
    <t>Hoffenheim-Bayern Munich</t>
  </si>
  <si>
    <t>Werder Bremen-Freiburg</t>
  </si>
  <si>
    <t>RB Leipzig-FC Koln</t>
  </si>
  <si>
    <t>Ein Frankfurt-Union Berlin</t>
  </si>
  <si>
    <t>Leverkusen-Mgladbach</t>
  </si>
  <si>
    <t>Dortmund-Wolfsburg</t>
  </si>
  <si>
    <t>Bayern Munich-Werder Bremen</t>
  </si>
  <si>
    <t>Heidenheim-Augsburg</t>
  </si>
  <si>
    <t>Mainz-Dortmund</t>
  </si>
  <si>
    <t>St Pauli-Leverkusen</t>
  </si>
  <si>
    <t>Wolfsburg-RB Leipzig</t>
  </si>
  <si>
    <t>Mgladbach-Ein Frankfurt</t>
  </si>
  <si>
    <t>Freiburg-Hoffenheim</t>
  </si>
  <si>
    <t>FC Koln-Stuttgart</t>
  </si>
  <si>
    <t>Union Berlin-Hamburg</t>
  </si>
  <si>
    <t>Hoffenheim-FC Koln</t>
  </si>
  <si>
    <t>Augsburg-Wolfsburg</t>
  </si>
  <si>
    <t>Dortmund-RB Leipzig</t>
  </si>
  <si>
    <t>Leverkusen-Union Berlin</t>
  </si>
  <si>
    <t>Werder Bremen-St Pauli</t>
  </si>
  <si>
    <t>Ein Frankfurt-Bayern Munich</t>
  </si>
  <si>
    <t>Stuttgart-Heidenheim</t>
  </si>
  <si>
    <t>Hamburg-Mainz</t>
  </si>
  <si>
    <t>Mgladbach-Freiburg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</si>
</sst>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55"/>
  <sheetViews>
    <sheetView tabSelected="1" zoomScale="80" zoomScaleNormal="80" workbookViewId="0">
      <pane xSplit="5" ySplit="1" topLeftCell="AB29" activePane="bottomRight" state="frozen"/>
      <selection pane="topRight" activeCell="F1" sqref="F1"/>
      <selection pane="bottomLeft" activeCell="A2" sqref="A2"/>
      <selection pane="bottomRight" activeCell="AO55" sqref="AO55"/>
    </sheetView>
  </sheetViews>
  <sheetFormatPr defaultRowHeight="15" x14ac:dyDescent="0.25"/>
  <cols>
    <col min="1" max="1" width="4" bestFit="1" customWidth="1"/>
    <col min="2" max="2" width="3.85546875" bestFit="1" customWidth="1"/>
    <col min="3" max="3" width="11.140625" customWidth="1"/>
    <col min="4" max="5" width="15.28515625" bestFit="1" customWidth="1"/>
    <col min="6" max="7" width="5.5703125" bestFit="1" customWidth="1"/>
    <col min="8" max="8" width="4.140625" bestFit="1" customWidth="1"/>
    <col min="9" max="10" width="5.85546875" bestFit="1" customWidth="1"/>
    <col min="11" max="11" width="4.42578125" bestFit="1" customWidth="1"/>
    <col min="12" max="14" width="5" bestFit="1" customWidth="1"/>
    <col min="15" max="15" width="5.42578125" bestFit="1" customWidth="1"/>
    <col min="16" max="16" width="3.7109375" bestFit="1" customWidth="1"/>
    <col min="17" max="17" width="3.28515625" bestFit="1" customWidth="1"/>
    <col min="18" max="18" width="4.28515625" bestFit="1" customWidth="1"/>
    <col min="19" max="19" width="3.28515625" bestFit="1" customWidth="1"/>
    <col min="20" max="20" width="4.28515625" bestFit="1" customWidth="1"/>
    <col min="21" max="22" width="3.28515625" bestFit="1" customWidth="1"/>
    <col min="23" max="24" width="3.42578125" bestFit="1" customWidth="1"/>
    <col min="25" max="26" width="4.85546875" bestFit="1" customWidth="1"/>
    <col min="27" max="29" width="3.28515625" bestFit="1" customWidth="1"/>
    <col min="30" max="30" width="3.140625" bestFit="1" customWidth="1"/>
    <col min="31" max="31" width="3" bestFit="1" customWidth="1"/>
    <col min="32" max="35" width="5.7109375" bestFit="1" customWidth="1"/>
    <col min="36" max="36" width="3" bestFit="1" customWidth="1"/>
    <col min="37" max="37" width="3.140625" bestFit="1" customWidth="1"/>
    <col min="38" max="38" width="29.7109375" bestFit="1" customWidth="1"/>
    <col min="39" max="39" width="12.42578125" customWidth="1"/>
    <col min="40" max="40" width="3" bestFit="1" customWidth="1"/>
    <col min="41" max="41" width="8.7109375" customWidth="1"/>
    <col min="42" max="42" width="9" bestFit="1" customWidth="1"/>
    <col min="43" max="43" width="13.85546875" bestFit="1" customWidth="1"/>
    <col min="44" max="44" width="15.140625" bestFit="1" customWidth="1"/>
    <col min="45" max="45" width="17.28515625" bestFit="1" customWidth="1"/>
    <col min="46" max="46" width="15.28515625" bestFit="1" customWidth="1"/>
    <col min="47" max="47" width="13.7109375" bestFit="1" customWidth="1"/>
    <col min="48" max="48" width="11.85546875" bestFit="1" customWidth="1"/>
    <col min="49" max="49" width="13.85546875" bestFit="1" customWidth="1"/>
    <col min="50" max="50" width="12.7109375" bestFit="1" customWidth="1"/>
    <col min="51" max="51" width="22.28515625" bestFit="1" customWidth="1"/>
  </cols>
  <sheetData>
    <row r="1" spans="1:51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</row>
    <row r="2" spans="1:51" x14ac:dyDescent="0.25">
      <c r="A2" t="s">
        <v>50</v>
      </c>
      <c r="B2" t="s">
        <v>104</v>
      </c>
      <c r="C2" s="1">
        <v>45891</v>
      </c>
      <c r="D2" t="s">
        <v>105</v>
      </c>
      <c r="E2" t="s">
        <v>116</v>
      </c>
      <c r="F2">
        <v>6</v>
      </c>
      <c r="G2">
        <v>0</v>
      </c>
      <c r="H2" t="s">
        <v>123</v>
      </c>
      <c r="I2">
        <v>3</v>
      </c>
      <c r="J2">
        <v>0</v>
      </c>
      <c r="K2" t="s">
        <v>123</v>
      </c>
      <c r="L2">
        <v>1.2</v>
      </c>
      <c r="M2">
        <v>7</v>
      </c>
      <c r="N2">
        <v>11</v>
      </c>
      <c r="O2" t="s">
        <v>126</v>
      </c>
      <c r="P2" t="s">
        <v>138</v>
      </c>
      <c r="Q2">
        <v>19</v>
      </c>
      <c r="R2">
        <v>10</v>
      </c>
      <c r="S2">
        <v>12</v>
      </c>
      <c r="T2">
        <v>1</v>
      </c>
      <c r="U2">
        <v>4</v>
      </c>
      <c r="V2">
        <v>1</v>
      </c>
      <c r="W2">
        <v>0</v>
      </c>
      <c r="X2">
        <v>0</v>
      </c>
      <c r="Y2">
        <v>5</v>
      </c>
      <c r="Z2">
        <v>5</v>
      </c>
      <c r="AA2">
        <v>13</v>
      </c>
      <c r="AB2">
        <v>13</v>
      </c>
      <c r="AC2">
        <v>6</v>
      </c>
      <c r="AD2">
        <v>10</v>
      </c>
      <c r="AE2">
        <v>26</v>
      </c>
      <c r="AF2" t="s">
        <v>150</v>
      </c>
      <c r="AG2" t="s">
        <v>186</v>
      </c>
      <c r="AH2" t="s">
        <v>186</v>
      </c>
      <c r="AI2" t="s">
        <v>186</v>
      </c>
      <c r="AJ2">
        <v>5</v>
      </c>
      <c r="AK2">
        <v>0</v>
      </c>
      <c r="AL2" t="s">
        <v>188</v>
      </c>
      <c r="AM2">
        <v>317</v>
      </c>
      <c r="AN2">
        <v>6</v>
      </c>
      <c r="AO2">
        <v>75</v>
      </c>
      <c r="AP2">
        <v>50</v>
      </c>
      <c r="AQ2">
        <v>400</v>
      </c>
      <c r="AR2">
        <v>300</v>
      </c>
      <c r="AS2">
        <v>500</v>
      </c>
      <c r="AT2">
        <f>AO2*AP2</f>
        <v>3750</v>
      </c>
      <c r="AU2">
        <v>60</v>
      </c>
      <c r="AV2">
        <f>AN2*AO2</f>
        <v>450</v>
      </c>
      <c r="AW2">
        <f>AO2*AD2</f>
        <v>750</v>
      </c>
      <c r="AX2">
        <f>AM2*AD2</f>
        <v>3170</v>
      </c>
      <c r="AY2">
        <v>3000</v>
      </c>
    </row>
    <row r="3" spans="1:51" x14ac:dyDescent="0.25">
      <c r="A3" t="s">
        <v>51</v>
      </c>
      <c r="B3" t="s">
        <v>104</v>
      </c>
      <c r="C3" s="1">
        <v>45892</v>
      </c>
      <c r="D3" t="s">
        <v>106</v>
      </c>
      <c r="E3" t="s">
        <v>118</v>
      </c>
      <c r="F3">
        <v>4</v>
      </c>
      <c r="G3">
        <v>1</v>
      </c>
      <c r="H3" t="s">
        <v>123</v>
      </c>
      <c r="I3">
        <v>2</v>
      </c>
      <c r="J3">
        <v>0</v>
      </c>
      <c r="K3" t="s">
        <v>123</v>
      </c>
      <c r="L3">
        <v>1.65</v>
      </c>
      <c r="M3">
        <v>3.9</v>
      </c>
      <c r="N3">
        <v>4.2</v>
      </c>
      <c r="O3" t="s">
        <v>127</v>
      </c>
      <c r="P3" t="s">
        <v>139</v>
      </c>
      <c r="Q3">
        <v>18</v>
      </c>
      <c r="R3">
        <v>5</v>
      </c>
      <c r="S3">
        <v>10</v>
      </c>
      <c r="T3">
        <v>5</v>
      </c>
      <c r="U3">
        <v>1</v>
      </c>
      <c r="V3">
        <v>3</v>
      </c>
      <c r="W3">
        <v>0</v>
      </c>
      <c r="X3">
        <v>0</v>
      </c>
      <c r="Y3">
        <v>7</v>
      </c>
      <c r="Z3">
        <v>1</v>
      </c>
      <c r="AA3">
        <v>9</v>
      </c>
      <c r="AB3">
        <v>9</v>
      </c>
      <c r="AC3">
        <v>5</v>
      </c>
      <c r="AD3">
        <v>8</v>
      </c>
      <c r="AE3">
        <v>18</v>
      </c>
      <c r="AF3" t="s">
        <v>151</v>
      </c>
      <c r="AG3" t="s">
        <v>186</v>
      </c>
      <c r="AH3" t="s">
        <v>186</v>
      </c>
      <c r="AI3" t="s">
        <v>186</v>
      </c>
      <c r="AJ3">
        <v>4</v>
      </c>
      <c r="AK3">
        <v>0</v>
      </c>
      <c r="AL3" t="s">
        <v>189</v>
      </c>
      <c r="AM3">
        <v>212</v>
      </c>
      <c r="AN3">
        <v>5</v>
      </c>
      <c r="AO3">
        <v>98</v>
      </c>
      <c r="AP3">
        <v>40</v>
      </c>
      <c r="AQ3">
        <v>300</v>
      </c>
      <c r="AR3">
        <v>200</v>
      </c>
      <c r="AS3">
        <v>320</v>
      </c>
      <c r="AT3">
        <f t="shared" ref="AT3:AT55" si="0">AO3*AP3</f>
        <v>3920</v>
      </c>
      <c r="AU3">
        <v>40</v>
      </c>
      <c r="AV3">
        <f t="shared" ref="AV3:AV55" si="1">AN3*AO3</f>
        <v>490</v>
      </c>
      <c r="AW3">
        <f t="shared" ref="AW3:AW55" si="2">AO3*AD3</f>
        <v>784</v>
      </c>
      <c r="AX3">
        <f t="shared" ref="AX3:AX55" si="3">AM3*AD3</f>
        <v>1696</v>
      </c>
      <c r="AY3">
        <v>1600</v>
      </c>
    </row>
    <row r="4" spans="1:51" x14ac:dyDescent="0.25">
      <c r="A4" t="s">
        <v>52</v>
      </c>
      <c r="B4" t="s">
        <v>104</v>
      </c>
      <c r="C4" s="1">
        <v>45892</v>
      </c>
      <c r="D4" t="s">
        <v>107</v>
      </c>
      <c r="E4" t="s">
        <v>119</v>
      </c>
      <c r="F4">
        <v>1</v>
      </c>
      <c r="G4">
        <v>3</v>
      </c>
      <c r="H4" t="s">
        <v>124</v>
      </c>
      <c r="I4">
        <v>0</v>
      </c>
      <c r="J4">
        <v>3</v>
      </c>
      <c r="K4" t="s">
        <v>124</v>
      </c>
      <c r="L4">
        <v>1.8</v>
      </c>
      <c r="M4">
        <v>3.4</v>
      </c>
      <c r="N4">
        <v>4</v>
      </c>
      <c r="O4" t="s">
        <v>128</v>
      </c>
      <c r="P4" t="s">
        <v>140</v>
      </c>
      <c r="Q4">
        <v>16</v>
      </c>
      <c r="R4">
        <v>4</v>
      </c>
      <c r="S4">
        <v>14</v>
      </c>
      <c r="T4">
        <v>5</v>
      </c>
      <c r="U4">
        <v>4</v>
      </c>
      <c r="V4">
        <v>5</v>
      </c>
      <c r="W4">
        <v>0</v>
      </c>
      <c r="X4">
        <v>0</v>
      </c>
      <c r="Y4">
        <v>5</v>
      </c>
      <c r="Z4">
        <v>5</v>
      </c>
      <c r="AA4">
        <v>14</v>
      </c>
      <c r="AB4">
        <v>18</v>
      </c>
      <c r="AC4">
        <v>4</v>
      </c>
      <c r="AD4">
        <v>10</v>
      </c>
      <c r="AE4">
        <v>32</v>
      </c>
      <c r="AF4" t="s">
        <v>150</v>
      </c>
      <c r="AG4" t="s">
        <v>186</v>
      </c>
      <c r="AH4" t="s">
        <v>186</v>
      </c>
      <c r="AI4" t="s">
        <v>186</v>
      </c>
      <c r="AJ4">
        <v>9</v>
      </c>
      <c r="AK4">
        <v>0</v>
      </c>
      <c r="AL4" t="s">
        <v>190</v>
      </c>
      <c r="AM4">
        <v>177</v>
      </c>
      <c r="AN4">
        <v>4</v>
      </c>
      <c r="AO4">
        <v>77</v>
      </c>
      <c r="AP4">
        <v>90</v>
      </c>
      <c r="AQ4">
        <v>2000</v>
      </c>
      <c r="AR4">
        <v>360</v>
      </c>
      <c r="AS4">
        <v>900</v>
      </c>
      <c r="AT4">
        <f t="shared" si="0"/>
        <v>6930</v>
      </c>
      <c r="AU4">
        <v>40</v>
      </c>
      <c r="AV4">
        <f t="shared" si="1"/>
        <v>308</v>
      </c>
      <c r="AW4">
        <f t="shared" si="2"/>
        <v>770</v>
      </c>
      <c r="AX4">
        <f t="shared" si="3"/>
        <v>1770</v>
      </c>
      <c r="AY4">
        <v>3600</v>
      </c>
    </row>
    <row r="5" spans="1:51" x14ac:dyDescent="0.25">
      <c r="A5" t="s">
        <v>53</v>
      </c>
      <c r="B5" t="s">
        <v>104</v>
      </c>
      <c r="C5" s="1">
        <v>45892</v>
      </c>
      <c r="D5" t="s">
        <v>108</v>
      </c>
      <c r="E5" t="s">
        <v>120</v>
      </c>
      <c r="F5">
        <v>1</v>
      </c>
      <c r="G5">
        <v>3</v>
      </c>
      <c r="H5" t="s">
        <v>124</v>
      </c>
      <c r="I5">
        <v>1</v>
      </c>
      <c r="J5">
        <v>1</v>
      </c>
      <c r="K5" t="s">
        <v>125</v>
      </c>
      <c r="L5">
        <v>2.9</v>
      </c>
      <c r="M5">
        <v>3.5</v>
      </c>
      <c r="N5">
        <v>2.15</v>
      </c>
      <c r="O5" t="s">
        <v>129</v>
      </c>
      <c r="P5" t="s">
        <v>140</v>
      </c>
      <c r="Q5">
        <v>7</v>
      </c>
      <c r="R5">
        <v>2</v>
      </c>
      <c r="S5">
        <v>15</v>
      </c>
      <c r="T5">
        <v>5</v>
      </c>
      <c r="U5">
        <v>2</v>
      </c>
      <c r="V5">
        <v>3</v>
      </c>
      <c r="W5">
        <v>0</v>
      </c>
      <c r="X5">
        <v>0</v>
      </c>
      <c r="Y5">
        <v>2</v>
      </c>
      <c r="Z5">
        <v>5</v>
      </c>
      <c r="AA5">
        <v>12</v>
      </c>
      <c r="AB5">
        <v>12</v>
      </c>
      <c r="AC5">
        <v>4</v>
      </c>
      <c r="AD5">
        <v>7</v>
      </c>
      <c r="AE5">
        <v>24</v>
      </c>
      <c r="AF5" t="s">
        <v>152</v>
      </c>
      <c r="AG5" t="s">
        <v>186</v>
      </c>
      <c r="AH5" t="s">
        <v>186</v>
      </c>
      <c r="AI5" t="s">
        <v>186</v>
      </c>
      <c r="AJ5">
        <v>5</v>
      </c>
      <c r="AK5">
        <v>0</v>
      </c>
      <c r="AL5" t="s">
        <v>191</v>
      </c>
      <c r="AM5">
        <v>203</v>
      </c>
      <c r="AN5">
        <v>4</v>
      </c>
      <c r="AO5">
        <v>56</v>
      </c>
      <c r="AP5">
        <v>50</v>
      </c>
      <c r="AQ5">
        <v>600</v>
      </c>
      <c r="AR5">
        <v>200</v>
      </c>
      <c r="AS5">
        <v>350</v>
      </c>
      <c r="AT5">
        <f t="shared" si="0"/>
        <v>2800</v>
      </c>
      <c r="AU5">
        <v>28</v>
      </c>
      <c r="AV5">
        <f t="shared" si="1"/>
        <v>224</v>
      </c>
      <c r="AW5">
        <f t="shared" si="2"/>
        <v>392</v>
      </c>
      <c r="AX5">
        <f t="shared" si="3"/>
        <v>1421</v>
      </c>
      <c r="AY5">
        <v>1400</v>
      </c>
    </row>
    <row r="6" spans="1:51" x14ac:dyDescent="0.25">
      <c r="A6" t="s">
        <v>54</v>
      </c>
      <c r="B6" t="s">
        <v>104</v>
      </c>
      <c r="C6" s="1">
        <v>45892</v>
      </c>
      <c r="D6" t="s">
        <v>109</v>
      </c>
      <c r="E6" t="s">
        <v>115</v>
      </c>
      <c r="F6">
        <v>1</v>
      </c>
      <c r="G6">
        <v>2</v>
      </c>
      <c r="H6" t="s">
        <v>124</v>
      </c>
      <c r="I6">
        <v>1</v>
      </c>
      <c r="J6">
        <v>1</v>
      </c>
      <c r="K6" t="s">
        <v>125</v>
      </c>
      <c r="L6">
        <v>1.5</v>
      </c>
      <c r="M6">
        <v>4.2</v>
      </c>
      <c r="N6">
        <v>5.25</v>
      </c>
      <c r="O6" t="s">
        <v>129</v>
      </c>
      <c r="P6" t="s">
        <v>133</v>
      </c>
      <c r="Q6">
        <v>7</v>
      </c>
      <c r="R6">
        <v>2</v>
      </c>
      <c r="S6">
        <v>10</v>
      </c>
      <c r="T6">
        <v>5</v>
      </c>
      <c r="U6">
        <v>0</v>
      </c>
      <c r="V6">
        <v>4</v>
      </c>
      <c r="W6">
        <v>0</v>
      </c>
      <c r="X6">
        <v>0</v>
      </c>
      <c r="Y6">
        <v>6</v>
      </c>
      <c r="Z6">
        <v>4</v>
      </c>
      <c r="AA6">
        <v>9</v>
      </c>
      <c r="AB6">
        <v>17</v>
      </c>
      <c r="AC6">
        <v>3</v>
      </c>
      <c r="AD6">
        <v>10</v>
      </c>
      <c r="AE6">
        <v>26</v>
      </c>
      <c r="AF6" t="s">
        <v>153</v>
      </c>
      <c r="AG6" t="s">
        <v>186</v>
      </c>
      <c r="AH6" t="s">
        <v>186</v>
      </c>
      <c r="AI6" t="s">
        <v>187</v>
      </c>
      <c r="AJ6">
        <v>4</v>
      </c>
      <c r="AK6">
        <v>0</v>
      </c>
      <c r="AL6" t="s">
        <v>192</v>
      </c>
      <c r="AM6">
        <v>83</v>
      </c>
      <c r="AN6">
        <v>3</v>
      </c>
      <c r="AO6">
        <v>34</v>
      </c>
      <c r="AP6">
        <v>40</v>
      </c>
      <c r="AQ6">
        <v>0</v>
      </c>
      <c r="AR6">
        <v>120</v>
      </c>
      <c r="AS6">
        <v>400</v>
      </c>
      <c r="AT6">
        <f t="shared" si="0"/>
        <v>1360</v>
      </c>
      <c r="AU6">
        <v>30</v>
      </c>
      <c r="AV6">
        <f t="shared" si="1"/>
        <v>102</v>
      </c>
      <c r="AW6">
        <f t="shared" si="2"/>
        <v>340</v>
      </c>
      <c r="AX6">
        <f t="shared" si="3"/>
        <v>830</v>
      </c>
      <c r="AY6">
        <v>1200</v>
      </c>
    </row>
    <row r="7" spans="1:51" x14ac:dyDescent="0.25">
      <c r="A7" t="s">
        <v>55</v>
      </c>
      <c r="B7" t="s">
        <v>104</v>
      </c>
      <c r="C7" s="1">
        <v>45892</v>
      </c>
      <c r="D7" t="s">
        <v>110</v>
      </c>
      <c r="E7" t="s">
        <v>117</v>
      </c>
      <c r="F7">
        <v>2</v>
      </c>
      <c r="G7">
        <v>1</v>
      </c>
      <c r="H7" t="s">
        <v>123</v>
      </c>
      <c r="I7">
        <v>2</v>
      </c>
      <c r="J7">
        <v>0</v>
      </c>
      <c r="K7" t="s">
        <v>123</v>
      </c>
      <c r="L7">
        <v>3.2</v>
      </c>
      <c r="M7">
        <v>3.5</v>
      </c>
      <c r="N7">
        <v>2</v>
      </c>
      <c r="O7" t="s">
        <v>127</v>
      </c>
      <c r="P7" t="s">
        <v>141</v>
      </c>
      <c r="Q7">
        <v>8</v>
      </c>
      <c r="R7">
        <v>2</v>
      </c>
      <c r="S7">
        <v>21</v>
      </c>
      <c r="T7">
        <v>6</v>
      </c>
      <c r="U7">
        <v>4</v>
      </c>
      <c r="V7">
        <v>4</v>
      </c>
      <c r="W7">
        <v>0</v>
      </c>
      <c r="X7">
        <v>0</v>
      </c>
      <c r="Y7">
        <v>5</v>
      </c>
      <c r="Z7">
        <v>11</v>
      </c>
      <c r="AA7">
        <v>21</v>
      </c>
      <c r="AB7">
        <v>13</v>
      </c>
      <c r="AC7">
        <v>3</v>
      </c>
      <c r="AD7">
        <v>16</v>
      </c>
      <c r="AE7">
        <v>34</v>
      </c>
      <c r="AF7" t="s">
        <v>154</v>
      </c>
      <c r="AG7" t="s">
        <v>186</v>
      </c>
      <c r="AH7" t="s">
        <v>186</v>
      </c>
      <c r="AI7" t="s">
        <v>187</v>
      </c>
      <c r="AJ7">
        <v>8</v>
      </c>
      <c r="AK7">
        <v>0</v>
      </c>
      <c r="AL7" t="s">
        <v>193</v>
      </c>
      <c r="AM7">
        <v>149</v>
      </c>
      <c r="AN7">
        <v>3</v>
      </c>
      <c r="AO7">
        <v>28</v>
      </c>
      <c r="AP7">
        <v>80</v>
      </c>
      <c r="AQ7">
        <v>1600</v>
      </c>
      <c r="AR7">
        <v>240</v>
      </c>
      <c r="AS7">
        <v>1280</v>
      </c>
      <c r="AT7">
        <f t="shared" si="0"/>
        <v>2240</v>
      </c>
      <c r="AU7">
        <v>48</v>
      </c>
      <c r="AV7">
        <f t="shared" si="1"/>
        <v>84</v>
      </c>
      <c r="AW7">
        <f t="shared" si="2"/>
        <v>448</v>
      </c>
      <c r="AX7">
        <f t="shared" si="3"/>
        <v>2384</v>
      </c>
      <c r="AY7">
        <v>3840</v>
      </c>
    </row>
    <row r="8" spans="1:51" x14ac:dyDescent="0.25">
      <c r="A8" t="s">
        <v>56</v>
      </c>
      <c r="B8" t="s">
        <v>104</v>
      </c>
      <c r="C8" s="1">
        <v>45892</v>
      </c>
      <c r="D8" t="s">
        <v>111</v>
      </c>
      <c r="E8" t="s">
        <v>121</v>
      </c>
      <c r="F8">
        <v>3</v>
      </c>
      <c r="G8">
        <v>3</v>
      </c>
      <c r="H8" t="s">
        <v>125</v>
      </c>
      <c r="I8">
        <v>0</v>
      </c>
      <c r="J8">
        <v>1</v>
      </c>
      <c r="K8" t="s">
        <v>124</v>
      </c>
      <c r="L8">
        <v>4.4000000000000004</v>
      </c>
      <c r="M8">
        <v>3.6</v>
      </c>
      <c r="N8">
        <v>1.67</v>
      </c>
      <c r="O8" t="s">
        <v>130</v>
      </c>
      <c r="P8" t="s">
        <v>142</v>
      </c>
      <c r="Q8">
        <v>11</v>
      </c>
      <c r="R8">
        <v>7</v>
      </c>
      <c r="S8">
        <v>8</v>
      </c>
      <c r="T8">
        <v>7</v>
      </c>
      <c r="U8">
        <v>2</v>
      </c>
      <c r="V8">
        <v>3</v>
      </c>
      <c r="W8">
        <v>0</v>
      </c>
      <c r="X8">
        <v>1</v>
      </c>
      <c r="Y8">
        <v>5</v>
      </c>
      <c r="Z8">
        <v>2</v>
      </c>
      <c r="AA8">
        <v>13</v>
      </c>
      <c r="AB8">
        <v>12</v>
      </c>
      <c r="AC8">
        <v>6</v>
      </c>
      <c r="AD8">
        <v>7</v>
      </c>
      <c r="AE8">
        <v>25</v>
      </c>
      <c r="AF8" t="s">
        <v>155</v>
      </c>
      <c r="AG8" t="s">
        <v>186</v>
      </c>
      <c r="AH8" t="s">
        <v>186</v>
      </c>
      <c r="AI8" t="s">
        <v>186</v>
      </c>
      <c r="AJ8">
        <v>5</v>
      </c>
      <c r="AK8">
        <v>1</v>
      </c>
      <c r="AL8" t="s">
        <v>194</v>
      </c>
      <c r="AM8">
        <v>400</v>
      </c>
      <c r="AN8">
        <v>6</v>
      </c>
      <c r="AO8">
        <v>67</v>
      </c>
      <c r="AP8">
        <v>75</v>
      </c>
      <c r="AQ8">
        <v>1100</v>
      </c>
      <c r="AR8">
        <v>450</v>
      </c>
      <c r="AS8">
        <v>525</v>
      </c>
      <c r="AT8">
        <f t="shared" si="0"/>
        <v>5025</v>
      </c>
      <c r="AU8">
        <v>42</v>
      </c>
      <c r="AV8">
        <f t="shared" si="1"/>
        <v>402</v>
      </c>
      <c r="AW8">
        <f t="shared" si="2"/>
        <v>469</v>
      </c>
      <c r="AX8">
        <f t="shared" si="3"/>
        <v>2800</v>
      </c>
      <c r="AY8">
        <v>3150</v>
      </c>
    </row>
    <row r="9" spans="1:51" x14ac:dyDescent="0.25">
      <c r="A9" t="s">
        <v>57</v>
      </c>
      <c r="B9" t="s">
        <v>104</v>
      </c>
      <c r="C9" s="1">
        <v>45893</v>
      </c>
      <c r="D9" t="s">
        <v>112</v>
      </c>
      <c r="E9" t="s">
        <v>122</v>
      </c>
      <c r="F9">
        <v>0</v>
      </c>
      <c r="G9">
        <v>1</v>
      </c>
      <c r="H9" t="s">
        <v>124</v>
      </c>
      <c r="I9">
        <v>0</v>
      </c>
      <c r="J9">
        <v>0</v>
      </c>
      <c r="K9" t="s">
        <v>125</v>
      </c>
      <c r="L9">
        <v>1.83</v>
      </c>
      <c r="M9">
        <v>3.5</v>
      </c>
      <c r="N9">
        <v>3.75</v>
      </c>
      <c r="O9" t="s">
        <v>131</v>
      </c>
      <c r="P9" t="s">
        <v>130</v>
      </c>
      <c r="Q9">
        <v>19</v>
      </c>
      <c r="R9">
        <v>2</v>
      </c>
      <c r="S9">
        <v>12</v>
      </c>
      <c r="T9">
        <v>2</v>
      </c>
      <c r="U9">
        <v>0</v>
      </c>
      <c r="V9">
        <v>2</v>
      </c>
      <c r="W9">
        <v>1</v>
      </c>
      <c r="X9">
        <v>0</v>
      </c>
      <c r="Y9">
        <v>8</v>
      </c>
      <c r="Z9">
        <v>3</v>
      </c>
      <c r="AA9">
        <v>7</v>
      </c>
      <c r="AB9">
        <v>9</v>
      </c>
      <c r="AC9">
        <v>1</v>
      </c>
      <c r="AD9">
        <v>11</v>
      </c>
      <c r="AE9">
        <v>16</v>
      </c>
      <c r="AF9" t="s">
        <v>156</v>
      </c>
      <c r="AG9" t="s">
        <v>187</v>
      </c>
      <c r="AH9" t="s">
        <v>187</v>
      </c>
      <c r="AI9" t="s">
        <v>187</v>
      </c>
      <c r="AJ9">
        <v>2</v>
      </c>
      <c r="AK9">
        <v>1</v>
      </c>
      <c r="AL9" t="s">
        <v>195</v>
      </c>
      <c r="AM9">
        <v>90</v>
      </c>
      <c r="AN9">
        <v>1</v>
      </c>
      <c r="AO9">
        <v>30</v>
      </c>
      <c r="AP9">
        <v>45</v>
      </c>
      <c r="AQ9">
        <v>500</v>
      </c>
      <c r="AR9">
        <v>45</v>
      </c>
      <c r="AS9">
        <v>495</v>
      </c>
      <c r="AT9">
        <f t="shared" si="0"/>
        <v>1350</v>
      </c>
      <c r="AU9">
        <v>11</v>
      </c>
      <c r="AV9">
        <f t="shared" si="1"/>
        <v>30</v>
      </c>
      <c r="AW9">
        <f t="shared" si="2"/>
        <v>330</v>
      </c>
      <c r="AX9">
        <f t="shared" si="3"/>
        <v>990</v>
      </c>
      <c r="AY9">
        <v>495</v>
      </c>
    </row>
    <row r="10" spans="1:51" x14ac:dyDescent="0.25">
      <c r="A10" t="s">
        <v>58</v>
      </c>
      <c r="B10" t="s">
        <v>104</v>
      </c>
      <c r="C10" s="1">
        <v>45893</v>
      </c>
      <c r="D10" t="s">
        <v>113</v>
      </c>
      <c r="E10" t="s">
        <v>114</v>
      </c>
      <c r="F10">
        <v>0</v>
      </c>
      <c r="G10">
        <v>0</v>
      </c>
      <c r="H10" t="s">
        <v>125</v>
      </c>
      <c r="I10">
        <v>0</v>
      </c>
      <c r="J10">
        <v>0</v>
      </c>
      <c r="K10" t="s">
        <v>125</v>
      </c>
      <c r="L10">
        <v>1.8</v>
      </c>
      <c r="M10">
        <v>3.75</v>
      </c>
      <c r="N10">
        <v>3.6</v>
      </c>
      <c r="O10" t="s">
        <v>131</v>
      </c>
      <c r="P10" t="s">
        <v>131</v>
      </c>
      <c r="Q10">
        <v>17</v>
      </c>
      <c r="R10">
        <v>4</v>
      </c>
      <c r="S10">
        <v>7</v>
      </c>
      <c r="T10">
        <v>2</v>
      </c>
      <c r="U10">
        <v>2</v>
      </c>
      <c r="V10">
        <v>1</v>
      </c>
      <c r="W10">
        <v>0</v>
      </c>
      <c r="X10">
        <v>0</v>
      </c>
      <c r="Y10">
        <v>7</v>
      </c>
      <c r="Z10">
        <v>6</v>
      </c>
      <c r="AA10">
        <v>10</v>
      </c>
      <c r="AB10">
        <v>10</v>
      </c>
      <c r="AC10">
        <v>0</v>
      </c>
      <c r="AD10">
        <v>13</v>
      </c>
      <c r="AE10">
        <v>20</v>
      </c>
      <c r="AF10" t="s">
        <v>157</v>
      </c>
      <c r="AG10" t="s">
        <v>187</v>
      </c>
      <c r="AH10" t="s">
        <v>187</v>
      </c>
      <c r="AI10" t="s">
        <v>187</v>
      </c>
      <c r="AJ10">
        <v>3</v>
      </c>
      <c r="AK10">
        <v>0</v>
      </c>
      <c r="AL10" t="s">
        <v>196</v>
      </c>
      <c r="AM10">
        <v>0</v>
      </c>
      <c r="AN10">
        <v>0</v>
      </c>
      <c r="AO10">
        <v>0</v>
      </c>
      <c r="AP10">
        <v>30</v>
      </c>
      <c r="AQ10">
        <v>200</v>
      </c>
      <c r="AR10">
        <v>0</v>
      </c>
      <c r="AS10">
        <v>390</v>
      </c>
      <c r="AT10">
        <f t="shared" si="0"/>
        <v>0</v>
      </c>
      <c r="AU10">
        <v>0</v>
      </c>
      <c r="AV10">
        <f t="shared" si="1"/>
        <v>0</v>
      </c>
      <c r="AW10">
        <f t="shared" si="2"/>
        <v>0</v>
      </c>
      <c r="AX10">
        <f t="shared" si="3"/>
        <v>0</v>
      </c>
      <c r="AY10">
        <v>0</v>
      </c>
    </row>
    <row r="11" spans="1:51" x14ac:dyDescent="0.25">
      <c r="A11" t="s">
        <v>59</v>
      </c>
      <c r="B11" t="s">
        <v>104</v>
      </c>
      <c r="C11" s="1">
        <v>45898</v>
      </c>
      <c r="D11" t="s">
        <v>114</v>
      </c>
      <c r="E11" t="s">
        <v>111</v>
      </c>
      <c r="F11">
        <v>0</v>
      </c>
      <c r="G11">
        <v>2</v>
      </c>
      <c r="H11" t="s">
        <v>124</v>
      </c>
      <c r="I11">
        <v>0</v>
      </c>
      <c r="J11">
        <v>1</v>
      </c>
      <c r="K11" t="s">
        <v>124</v>
      </c>
      <c r="L11">
        <v>2.4</v>
      </c>
      <c r="M11">
        <v>3.3</v>
      </c>
      <c r="N11">
        <v>2.9</v>
      </c>
      <c r="O11" t="s">
        <v>130</v>
      </c>
      <c r="P11" t="s">
        <v>132</v>
      </c>
      <c r="Q11">
        <v>5</v>
      </c>
      <c r="R11">
        <v>2</v>
      </c>
      <c r="S11">
        <v>17</v>
      </c>
      <c r="T11">
        <v>6</v>
      </c>
      <c r="U11">
        <v>3</v>
      </c>
      <c r="V11">
        <v>3</v>
      </c>
      <c r="W11">
        <v>1</v>
      </c>
      <c r="X11">
        <v>0</v>
      </c>
      <c r="Y11">
        <v>2</v>
      </c>
      <c r="Z11">
        <v>5</v>
      </c>
      <c r="AA11">
        <v>13</v>
      </c>
      <c r="AB11">
        <v>19</v>
      </c>
      <c r="AC11">
        <v>2</v>
      </c>
      <c r="AD11">
        <v>7</v>
      </c>
      <c r="AE11">
        <v>32</v>
      </c>
      <c r="AF11" t="s">
        <v>152</v>
      </c>
      <c r="AG11" t="s">
        <v>186</v>
      </c>
      <c r="AH11" t="s">
        <v>187</v>
      </c>
      <c r="AI11" t="s">
        <v>187</v>
      </c>
      <c r="AJ11">
        <v>6</v>
      </c>
      <c r="AK11">
        <v>1</v>
      </c>
      <c r="AL11" t="s">
        <v>197</v>
      </c>
      <c r="AM11">
        <v>79</v>
      </c>
      <c r="AN11">
        <v>2</v>
      </c>
      <c r="AO11">
        <v>52</v>
      </c>
      <c r="AP11">
        <v>85</v>
      </c>
      <c r="AQ11">
        <v>1650</v>
      </c>
      <c r="AR11">
        <v>170</v>
      </c>
      <c r="AS11">
        <v>595</v>
      </c>
      <c r="AT11">
        <f t="shared" si="0"/>
        <v>4420</v>
      </c>
      <c r="AU11">
        <v>14</v>
      </c>
      <c r="AV11">
        <f t="shared" si="1"/>
        <v>104</v>
      </c>
      <c r="AW11">
        <f t="shared" si="2"/>
        <v>364</v>
      </c>
      <c r="AX11">
        <f t="shared" si="3"/>
        <v>553</v>
      </c>
      <c r="AY11">
        <v>1190</v>
      </c>
    </row>
    <row r="12" spans="1:51" x14ac:dyDescent="0.25">
      <c r="A12" t="s">
        <v>60</v>
      </c>
      <c r="B12" t="s">
        <v>104</v>
      </c>
      <c r="C12" s="1">
        <v>45899</v>
      </c>
      <c r="D12" t="s">
        <v>115</v>
      </c>
      <c r="E12" t="s">
        <v>106</v>
      </c>
      <c r="F12">
        <v>1</v>
      </c>
      <c r="G12">
        <v>3</v>
      </c>
      <c r="H12" t="s">
        <v>124</v>
      </c>
      <c r="I12">
        <v>0</v>
      </c>
      <c r="J12">
        <v>2</v>
      </c>
      <c r="K12" t="s">
        <v>124</v>
      </c>
      <c r="L12">
        <v>2.7</v>
      </c>
      <c r="M12">
        <v>3.7</v>
      </c>
      <c r="N12">
        <v>2.2000000000000002</v>
      </c>
      <c r="O12" t="s">
        <v>132</v>
      </c>
      <c r="P12" t="s">
        <v>140</v>
      </c>
      <c r="Q12">
        <v>17</v>
      </c>
      <c r="R12">
        <v>5</v>
      </c>
      <c r="S12">
        <v>9</v>
      </c>
      <c r="T12">
        <v>6</v>
      </c>
      <c r="U12">
        <v>2</v>
      </c>
      <c r="V12">
        <v>3</v>
      </c>
      <c r="W12">
        <v>0</v>
      </c>
      <c r="X12">
        <v>0</v>
      </c>
      <c r="Y12">
        <v>4</v>
      </c>
      <c r="Z12">
        <v>5</v>
      </c>
      <c r="AA12">
        <v>14</v>
      </c>
      <c r="AB12">
        <v>10</v>
      </c>
      <c r="AC12">
        <v>4</v>
      </c>
      <c r="AD12">
        <v>9</v>
      </c>
      <c r="AE12">
        <v>24</v>
      </c>
      <c r="AF12" t="s">
        <v>158</v>
      </c>
      <c r="AG12" t="s">
        <v>186</v>
      </c>
      <c r="AH12" t="s">
        <v>186</v>
      </c>
      <c r="AI12" t="s">
        <v>186</v>
      </c>
      <c r="AJ12">
        <v>5</v>
      </c>
      <c r="AK12">
        <v>0</v>
      </c>
      <c r="AL12" t="s">
        <v>198</v>
      </c>
      <c r="AM12">
        <v>185</v>
      </c>
      <c r="AN12">
        <v>4</v>
      </c>
      <c r="AO12">
        <v>88</v>
      </c>
      <c r="AP12">
        <v>50</v>
      </c>
      <c r="AQ12">
        <v>600</v>
      </c>
      <c r="AR12">
        <v>200</v>
      </c>
      <c r="AS12">
        <v>450</v>
      </c>
      <c r="AT12">
        <f t="shared" si="0"/>
        <v>4400</v>
      </c>
      <c r="AU12">
        <v>36</v>
      </c>
      <c r="AV12">
        <f t="shared" si="1"/>
        <v>352</v>
      </c>
      <c r="AW12">
        <f t="shared" si="2"/>
        <v>792</v>
      </c>
      <c r="AX12">
        <f t="shared" si="3"/>
        <v>1665</v>
      </c>
      <c r="AY12">
        <v>1800</v>
      </c>
    </row>
    <row r="13" spans="1:51" x14ac:dyDescent="0.25">
      <c r="A13" t="s">
        <v>61</v>
      </c>
      <c r="B13" t="s">
        <v>104</v>
      </c>
      <c r="C13" s="1">
        <v>45899</v>
      </c>
      <c r="D13" t="s">
        <v>116</v>
      </c>
      <c r="E13" t="s">
        <v>108</v>
      </c>
      <c r="F13">
        <v>2</v>
      </c>
      <c r="G13">
        <v>0</v>
      </c>
      <c r="H13" t="s">
        <v>123</v>
      </c>
      <c r="I13">
        <v>0</v>
      </c>
      <c r="J13">
        <v>0</v>
      </c>
      <c r="K13" t="s">
        <v>125</v>
      </c>
      <c r="L13">
        <v>1.4</v>
      </c>
      <c r="M13">
        <v>4.5</v>
      </c>
      <c r="N13">
        <v>6</v>
      </c>
      <c r="O13" t="s">
        <v>131</v>
      </c>
      <c r="P13" t="s">
        <v>127</v>
      </c>
      <c r="Q13">
        <v>19</v>
      </c>
      <c r="R13">
        <v>5</v>
      </c>
      <c r="S13">
        <v>5</v>
      </c>
      <c r="T13">
        <v>3</v>
      </c>
      <c r="U13">
        <v>2</v>
      </c>
      <c r="V13">
        <v>5</v>
      </c>
      <c r="W13">
        <v>0</v>
      </c>
      <c r="X13">
        <v>0</v>
      </c>
      <c r="Y13">
        <v>4</v>
      </c>
      <c r="Z13">
        <v>3</v>
      </c>
      <c r="AA13">
        <v>7</v>
      </c>
      <c r="AB13">
        <v>13</v>
      </c>
      <c r="AC13">
        <v>2</v>
      </c>
      <c r="AD13">
        <v>7</v>
      </c>
      <c r="AE13">
        <v>20</v>
      </c>
      <c r="AF13" t="s">
        <v>159</v>
      </c>
      <c r="AG13" t="s">
        <v>186</v>
      </c>
      <c r="AH13" t="s">
        <v>187</v>
      </c>
      <c r="AI13" t="s">
        <v>187</v>
      </c>
      <c r="AJ13">
        <v>7</v>
      </c>
      <c r="AK13">
        <v>0</v>
      </c>
      <c r="AL13" t="s">
        <v>199</v>
      </c>
      <c r="AM13">
        <v>126</v>
      </c>
      <c r="AN13">
        <v>2</v>
      </c>
      <c r="AO13">
        <v>54</v>
      </c>
      <c r="AP13">
        <v>70</v>
      </c>
      <c r="AQ13">
        <v>1000</v>
      </c>
      <c r="AR13">
        <v>140</v>
      </c>
      <c r="AS13">
        <v>490</v>
      </c>
      <c r="AT13">
        <f t="shared" si="0"/>
        <v>3780</v>
      </c>
      <c r="AU13">
        <v>14</v>
      </c>
      <c r="AV13">
        <f t="shared" si="1"/>
        <v>108</v>
      </c>
      <c r="AW13">
        <f t="shared" si="2"/>
        <v>378</v>
      </c>
      <c r="AX13">
        <f t="shared" si="3"/>
        <v>882</v>
      </c>
      <c r="AY13">
        <v>980</v>
      </c>
    </row>
    <row r="14" spans="1:51" x14ac:dyDescent="0.25">
      <c r="A14" t="s">
        <v>62</v>
      </c>
      <c r="B14" t="s">
        <v>104</v>
      </c>
      <c r="C14" s="1">
        <v>45899</v>
      </c>
      <c r="D14" t="s">
        <v>117</v>
      </c>
      <c r="E14" t="s">
        <v>113</v>
      </c>
      <c r="F14">
        <v>1</v>
      </c>
      <c r="G14">
        <v>0</v>
      </c>
      <c r="H14" t="s">
        <v>123</v>
      </c>
      <c r="I14">
        <v>0</v>
      </c>
      <c r="J14">
        <v>0</v>
      </c>
      <c r="K14" t="s">
        <v>125</v>
      </c>
      <c r="L14">
        <v>1.55</v>
      </c>
      <c r="M14">
        <v>4.2</v>
      </c>
      <c r="N14">
        <v>4.5999999999999996</v>
      </c>
      <c r="O14" t="s">
        <v>131</v>
      </c>
      <c r="P14" t="s">
        <v>134</v>
      </c>
      <c r="Q14">
        <v>13</v>
      </c>
      <c r="R14">
        <v>5</v>
      </c>
      <c r="S14">
        <v>15</v>
      </c>
      <c r="T14">
        <v>6</v>
      </c>
      <c r="U14">
        <v>2</v>
      </c>
      <c r="V14">
        <v>1</v>
      </c>
      <c r="W14">
        <v>0</v>
      </c>
      <c r="X14">
        <v>0</v>
      </c>
      <c r="Y14">
        <v>6</v>
      </c>
      <c r="Z14">
        <v>10</v>
      </c>
      <c r="AA14">
        <v>5</v>
      </c>
      <c r="AB14">
        <v>13</v>
      </c>
      <c r="AC14">
        <v>1</v>
      </c>
      <c r="AD14">
        <v>16</v>
      </c>
      <c r="AE14">
        <v>18</v>
      </c>
      <c r="AF14" t="s">
        <v>160</v>
      </c>
      <c r="AG14" t="s">
        <v>187</v>
      </c>
      <c r="AH14" t="s">
        <v>187</v>
      </c>
      <c r="AI14" t="s">
        <v>187</v>
      </c>
      <c r="AJ14">
        <v>3</v>
      </c>
      <c r="AK14">
        <v>0</v>
      </c>
      <c r="AL14" t="s">
        <v>200</v>
      </c>
      <c r="AM14">
        <v>79</v>
      </c>
      <c r="AN14">
        <v>1</v>
      </c>
      <c r="AO14">
        <v>30</v>
      </c>
      <c r="AP14">
        <v>30</v>
      </c>
      <c r="AQ14">
        <v>200</v>
      </c>
      <c r="AR14">
        <v>30</v>
      </c>
      <c r="AS14">
        <v>480</v>
      </c>
      <c r="AT14">
        <f t="shared" si="0"/>
        <v>900</v>
      </c>
      <c r="AU14">
        <v>16</v>
      </c>
      <c r="AV14">
        <f t="shared" si="1"/>
        <v>30</v>
      </c>
      <c r="AW14">
        <f t="shared" si="2"/>
        <v>480</v>
      </c>
      <c r="AX14">
        <f t="shared" si="3"/>
        <v>1264</v>
      </c>
      <c r="AY14">
        <v>480</v>
      </c>
    </row>
    <row r="15" spans="1:51" x14ac:dyDescent="0.25">
      <c r="A15" t="s">
        <v>63</v>
      </c>
      <c r="B15" t="s">
        <v>104</v>
      </c>
      <c r="C15" s="1">
        <v>45899</v>
      </c>
      <c r="D15" t="s">
        <v>118</v>
      </c>
      <c r="E15" t="s">
        <v>109</v>
      </c>
      <c r="F15">
        <v>3</v>
      </c>
      <c r="G15">
        <v>3</v>
      </c>
      <c r="H15" t="s">
        <v>125</v>
      </c>
      <c r="I15">
        <v>1</v>
      </c>
      <c r="J15">
        <v>2</v>
      </c>
      <c r="K15" t="s">
        <v>124</v>
      </c>
      <c r="L15">
        <v>3.4</v>
      </c>
      <c r="M15">
        <v>3.7</v>
      </c>
      <c r="N15">
        <v>1.87</v>
      </c>
      <c r="O15" t="s">
        <v>133</v>
      </c>
      <c r="P15" t="s">
        <v>142</v>
      </c>
      <c r="Q15">
        <v>12</v>
      </c>
      <c r="R15">
        <v>5</v>
      </c>
      <c r="S15">
        <v>10</v>
      </c>
      <c r="T15">
        <v>4</v>
      </c>
      <c r="U15">
        <v>4</v>
      </c>
      <c r="V15">
        <v>3</v>
      </c>
      <c r="W15">
        <v>1</v>
      </c>
      <c r="X15">
        <v>0</v>
      </c>
      <c r="Y15">
        <v>3</v>
      </c>
      <c r="Z15">
        <v>7</v>
      </c>
      <c r="AA15">
        <v>11</v>
      </c>
      <c r="AB15">
        <v>10</v>
      </c>
      <c r="AC15">
        <v>6</v>
      </c>
      <c r="AD15">
        <v>10</v>
      </c>
      <c r="AE15">
        <v>21</v>
      </c>
      <c r="AF15" t="s">
        <v>161</v>
      </c>
      <c r="AG15" t="s">
        <v>186</v>
      </c>
      <c r="AH15" t="s">
        <v>186</v>
      </c>
      <c r="AI15" t="s">
        <v>186</v>
      </c>
      <c r="AJ15">
        <v>7</v>
      </c>
      <c r="AK15">
        <v>1</v>
      </c>
      <c r="AL15" t="s">
        <v>201</v>
      </c>
      <c r="AM15">
        <v>314</v>
      </c>
      <c r="AN15">
        <v>6</v>
      </c>
      <c r="AO15">
        <v>112</v>
      </c>
      <c r="AP15">
        <v>95</v>
      </c>
      <c r="AQ15">
        <v>1950</v>
      </c>
      <c r="AR15">
        <v>570</v>
      </c>
      <c r="AS15">
        <v>950</v>
      </c>
      <c r="AT15">
        <f t="shared" si="0"/>
        <v>10640</v>
      </c>
      <c r="AU15">
        <v>60</v>
      </c>
      <c r="AV15">
        <f t="shared" si="1"/>
        <v>672</v>
      </c>
      <c r="AW15">
        <f t="shared" si="2"/>
        <v>1120</v>
      </c>
      <c r="AX15">
        <f t="shared" si="3"/>
        <v>3140</v>
      </c>
      <c r="AY15">
        <v>5700</v>
      </c>
    </row>
    <row r="16" spans="1:51" x14ac:dyDescent="0.25">
      <c r="A16" t="s">
        <v>64</v>
      </c>
      <c r="B16" t="s">
        <v>104</v>
      </c>
      <c r="C16" s="1">
        <v>45899</v>
      </c>
      <c r="D16" t="s">
        <v>119</v>
      </c>
      <c r="E16" t="s">
        <v>105</v>
      </c>
      <c r="F16">
        <v>2</v>
      </c>
      <c r="G16">
        <v>3</v>
      </c>
      <c r="H16" t="s">
        <v>124</v>
      </c>
      <c r="I16">
        <v>0</v>
      </c>
      <c r="J16">
        <v>2</v>
      </c>
      <c r="K16" t="s">
        <v>124</v>
      </c>
      <c r="L16">
        <v>9.5</v>
      </c>
      <c r="M16">
        <v>5.75</v>
      </c>
      <c r="N16">
        <v>1.22</v>
      </c>
      <c r="O16" t="s">
        <v>132</v>
      </c>
      <c r="P16" t="s">
        <v>143</v>
      </c>
      <c r="Q16">
        <v>10</v>
      </c>
      <c r="R16">
        <v>3</v>
      </c>
      <c r="S16">
        <v>20</v>
      </c>
      <c r="T16">
        <v>10</v>
      </c>
      <c r="U16">
        <v>3</v>
      </c>
      <c r="V16">
        <v>4</v>
      </c>
      <c r="W16">
        <v>0</v>
      </c>
      <c r="X16">
        <v>0</v>
      </c>
      <c r="Y16">
        <v>7</v>
      </c>
      <c r="Z16">
        <v>5</v>
      </c>
      <c r="AA16">
        <v>14</v>
      </c>
      <c r="AB16">
        <v>11</v>
      </c>
      <c r="AC16">
        <v>5</v>
      </c>
      <c r="AD16">
        <v>12</v>
      </c>
      <c r="AE16">
        <v>25</v>
      </c>
      <c r="AF16" t="s">
        <v>162</v>
      </c>
      <c r="AG16" t="s">
        <v>186</v>
      </c>
      <c r="AH16" t="s">
        <v>186</v>
      </c>
      <c r="AI16" t="s">
        <v>186</v>
      </c>
      <c r="AJ16">
        <v>7</v>
      </c>
      <c r="AK16">
        <v>0</v>
      </c>
      <c r="AL16" t="s">
        <v>202</v>
      </c>
      <c r="AM16">
        <v>250</v>
      </c>
      <c r="AN16">
        <v>5</v>
      </c>
      <c r="AO16">
        <v>91</v>
      </c>
      <c r="AP16">
        <v>70</v>
      </c>
      <c r="AQ16">
        <v>1200</v>
      </c>
      <c r="AR16">
        <v>350</v>
      </c>
      <c r="AS16">
        <v>840</v>
      </c>
      <c r="AT16">
        <f t="shared" si="0"/>
        <v>6370</v>
      </c>
      <c r="AU16">
        <v>60</v>
      </c>
      <c r="AV16">
        <f t="shared" si="1"/>
        <v>455</v>
      </c>
      <c r="AW16">
        <f t="shared" si="2"/>
        <v>1092</v>
      </c>
      <c r="AX16">
        <f t="shared" si="3"/>
        <v>3000</v>
      </c>
      <c r="AY16">
        <v>4200</v>
      </c>
    </row>
    <row r="17" spans="1:51" x14ac:dyDescent="0.25">
      <c r="A17" t="s">
        <v>65</v>
      </c>
      <c r="B17" t="s">
        <v>104</v>
      </c>
      <c r="C17" s="1">
        <v>45900</v>
      </c>
      <c r="D17" t="s">
        <v>120</v>
      </c>
      <c r="E17" t="s">
        <v>112</v>
      </c>
      <c r="F17">
        <v>1</v>
      </c>
      <c r="G17">
        <v>1</v>
      </c>
      <c r="H17" t="s">
        <v>125</v>
      </c>
      <c r="I17">
        <v>1</v>
      </c>
      <c r="J17">
        <v>0</v>
      </c>
      <c r="K17" t="s">
        <v>123</v>
      </c>
      <c r="L17">
        <v>1.95</v>
      </c>
      <c r="M17">
        <v>3.5</v>
      </c>
      <c r="N17">
        <v>3.3</v>
      </c>
      <c r="O17" t="s">
        <v>134</v>
      </c>
      <c r="P17" t="s">
        <v>129</v>
      </c>
      <c r="Q17">
        <v>11</v>
      </c>
      <c r="R17">
        <v>3</v>
      </c>
      <c r="S17">
        <v>17</v>
      </c>
      <c r="T17">
        <v>3</v>
      </c>
      <c r="U17">
        <v>3</v>
      </c>
      <c r="V17">
        <v>5</v>
      </c>
      <c r="W17">
        <v>1</v>
      </c>
      <c r="X17">
        <v>0</v>
      </c>
      <c r="Y17">
        <v>3</v>
      </c>
      <c r="Z17">
        <v>10</v>
      </c>
      <c r="AA17">
        <v>15</v>
      </c>
      <c r="AB17">
        <v>14</v>
      </c>
      <c r="AC17">
        <v>2</v>
      </c>
      <c r="AD17">
        <v>13</v>
      </c>
      <c r="AE17">
        <v>29</v>
      </c>
      <c r="AF17" t="s">
        <v>163</v>
      </c>
      <c r="AG17" t="s">
        <v>186</v>
      </c>
      <c r="AH17" t="s">
        <v>187</v>
      </c>
      <c r="AI17" t="s">
        <v>187</v>
      </c>
      <c r="AJ17">
        <v>8</v>
      </c>
      <c r="AK17">
        <v>1</v>
      </c>
      <c r="AL17" t="s">
        <v>203</v>
      </c>
      <c r="AM17">
        <v>99</v>
      </c>
      <c r="AN17">
        <v>2</v>
      </c>
      <c r="AO17">
        <v>35</v>
      </c>
      <c r="AP17">
        <v>105</v>
      </c>
      <c r="AQ17">
        <v>2750</v>
      </c>
      <c r="AR17">
        <v>210</v>
      </c>
      <c r="AS17">
        <v>1365</v>
      </c>
      <c r="AT17">
        <f t="shared" si="0"/>
        <v>3675</v>
      </c>
      <c r="AU17">
        <v>26</v>
      </c>
      <c r="AV17">
        <f t="shared" si="1"/>
        <v>70</v>
      </c>
      <c r="AW17">
        <f t="shared" si="2"/>
        <v>455</v>
      </c>
      <c r="AX17">
        <f t="shared" si="3"/>
        <v>1287</v>
      </c>
      <c r="AY17">
        <v>2730</v>
      </c>
    </row>
    <row r="18" spans="1:51" x14ac:dyDescent="0.25">
      <c r="A18" t="s">
        <v>66</v>
      </c>
      <c r="B18" t="s">
        <v>104</v>
      </c>
      <c r="C18" s="1">
        <v>45900</v>
      </c>
      <c r="D18" t="s">
        <v>121</v>
      </c>
      <c r="E18" t="s">
        <v>110</v>
      </c>
      <c r="F18">
        <v>3</v>
      </c>
      <c r="G18">
        <v>0</v>
      </c>
      <c r="H18" t="s">
        <v>123</v>
      </c>
      <c r="I18">
        <v>1</v>
      </c>
      <c r="J18">
        <v>0</v>
      </c>
      <c r="K18" t="s">
        <v>123</v>
      </c>
      <c r="L18">
        <v>1.36</v>
      </c>
      <c r="M18">
        <v>4.5999999999999996</v>
      </c>
      <c r="N18">
        <v>6.5</v>
      </c>
      <c r="O18" t="s">
        <v>134</v>
      </c>
      <c r="P18" t="s">
        <v>126</v>
      </c>
      <c r="Q18">
        <v>11</v>
      </c>
      <c r="R18">
        <v>6</v>
      </c>
      <c r="S18">
        <v>12</v>
      </c>
      <c r="T18">
        <v>3</v>
      </c>
      <c r="U18">
        <v>0</v>
      </c>
      <c r="V18">
        <v>0</v>
      </c>
      <c r="W18">
        <v>0</v>
      </c>
      <c r="X18">
        <v>0</v>
      </c>
      <c r="Y18">
        <v>4</v>
      </c>
      <c r="Z18">
        <v>6</v>
      </c>
      <c r="AA18">
        <v>14</v>
      </c>
      <c r="AB18">
        <v>7</v>
      </c>
      <c r="AC18">
        <v>3</v>
      </c>
      <c r="AD18">
        <v>10</v>
      </c>
      <c r="AE18">
        <v>21</v>
      </c>
      <c r="AF18" t="s">
        <v>149</v>
      </c>
      <c r="AG18" t="s">
        <v>186</v>
      </c>
      <c r="AH18" t="s">
        <v>186</v>
      </c>
      <c r="AI18" t="s">
        <v>187</v>
      </c>
      <c r="AJ18">
        <v>0</v>
      </c>
      <c r="AK18">
        <v>0</v>
      </c>
      <c r="AL18" t="s">
        <v>204</v>
      </c>
      <c r="AM18">
        <v>183</v>
      </c>
      <c r="AN18">
        <v>3</v>
      </c>
      <c r="AO18">
        <v>26</v>
      </c>
      <c r="AP18">
        <v>0</v>
      </c>
      <c r="AQ18">
        <v>0</v>
      </c>
      <c r="AR18">
        <v>0</v>
      </c>
      <c r="AS18">
        <v>0</v>
      </c>
      <c r="AT18">
        <f t="shared" si="0"/>
        <v>0</v>
      </c>
      <c r="AU18">
        <v>30</v>
      </c>
      <c r="AV18">
        <f t="shared" si="1"/>
        <v>78</v>
      </c>
      <c r="AW18">
        <f t="shared" si="2"/>
        <v>260</v>
      </c>
      <c r="AX18">
        <f t="shared" si="3"/>
        <v>1830</v>
      </c>
      <c r="AY18">
        <v>0</v>
      </c>
    </row>
    <row r="19" spans="1:51" x14ac:dyDescent="0.25">
      <c r="A19" t="s">
        <v>67</v>
      </c>
      <c r="B19" t="s">
        <v>104</v>
      </c>
      <c r="C19" s="1">
        <v>45900</v>
      </c>
      <c r="D19" t="s">
        <v>122</v>
      </c>
      <c r="E19" t="s">
        <v>107</v>
      </c>
      <c r="F19">
        <v>4</v>
      </c>
      <c r="G19">
        <v>1</v>
      </c>
      <c r="H19" t="s">
        <v>123</v>
      </c>
      <c r="I19">
        <v>1</v>
      </c>
      <c r="J19">
        <v>0</v>
      </c>
      <c r="K19" t="s">
        <v>123</v>
      </c>
      <c r="L19">
        <v>2.4500000000000002</v>
      </c>
      <c r="M19">
        <v>3.2</v>
      </c>
      <c r="N19">
        <v>2.63</v>
      </c>
      <c r="O19" t="s">
        <v>134</v>
      </c>
      <c r="P19" t="s">
        <v>139</v>
      </c>
      <c r="Q19">
        <v>18</v>
      </c>
      <c r="R19">
        <v>6</v>
      </c>
      <c r="S19">
        <v>12</v>
      </c>
      <c r="T19">
        <v>2</v>
      </c>
      <c r="U19">
        <v>2</v>
      </c>
      <c r="V19">
        <v>1</v>
      </c>
      <c r="W19">
        <v>0</v>
      </c>
      <c r="X19">
        <v>0</v>
      </c>
      <c r="Y19">
        <v>3</v>
      </c>
      <c r="Z19">
        <v>5</v>
      </c>
      <c r="AA19">
        <v>12</v>
      </c>
      <c r="AB19">
        <v>9</v>
      </c>
      <c r="AC19">
        <v>5</v>
      </c>
      <c r="AD19">
        <v>8</v>
      </c>
      <c r="AE19">
        <v>21</v>
      </c>
      <c r="AF19" t="s">
        <v>164</v>
      </c>
      <c r="AG19" t="s">
        <v>186</v>
      </c>
      <c r="AH19" t="s">
        <v>186</v>
      </c>
      <c r="AI19" t="s">
        <v>186</v>
      </c>
      <c r="AJ19">
        <v>3</v>
      </c>
      <c r="AK19">
        <v>0</v>
      </c>
      <c r="AL19" t="s">
        <v>205</v>
      </c>
      <c r="AM19">
        <v>304</v>
      </c>
      <c r="AN19">
        <v>5</v>
      </c>
      <c r="AO19">
        <v>96</v>
      </c>
      <c r="AP19">
        <v>30</v>
      </c>
      <c r="AQ19">
        <v>200</v>
      </c>
      <c r="AR19">
        <v>150</v>
      </c>
      <c r="AS19">
        <v>240</v>
      </c>
      <c r="AT19">
        <f t="shared" si="0"/>
        <v>2880</v>
      </c>
      <c r="AU19">
        <v>40</v>
      </c>
      <c r="AV19">
        <f t="shared" si="1"/>
        <v>480</v>
      </c>
      <c r="AW19">
        <f t="shared" si="2"/>
        <v>768</v>
      </c>
      <c r="AX19">
        <f t="shared" si="3"/>
        <v>2432</v>
      </c>
      <c r="AY19">
        <v>1200</v>
      </c>
    </row>
    <row r="20" spans="1:51" x14ac:dyDescent="0.25">
      <c r="A20" t="s">
        <v>68</v>
      </c>
      <c r="B20" t="s">
        <v>104</v>
      </c>
      <c r="C20" s="1">
        <v>45912</v>
      </c>
      <c r="D20" t="s">
        <v>109</v>
      </c>
      <c r="E20" t="s">
        <v>106</v>
      </c>
      <c r="F20">
        <v>3</v>
      </c>
      <c r="G20">
        <v>1</v>
      </c>
      <c r="H20" t="s">
        <v>123</v>
      </c>
      <c r="I20">
        <v>2</v>
      </c>
      <c r="J20">
        <v>0</v>
      </c>
      <c r="K20" t="s">
        <v>123</v>
      </c>
      <c r="L20">
        <v>2.1</v>
      </c>
      <c r="M20">
        <v>3.9</v>
      </c>
      <c r="N20">
        <v>3</v>
      </c>
      <c r="O20" t="s">
        <v>127</v>
      </c>
      <c r="P20" t="s">
        <v>136</v>
      </c>
      <c r="Q20">
        <v>18</v>
      </c>
      <c r="R20">
        <v>8</v>
      </c>
      <c r="S20">
        <v>13</v>
      </c>
      <c r="T20">
        <v>2</v>
      </c>
      <c r="U20">
        <v>5</v>
      </c>
      <c r="V20">
        <v>3</v>
      </c>
      <c r="W20">
        <v>2</v>
      </c>
      <c r="X20">
        <v>0</v>
      </c>
      <c r="Y20">
        <v>4</v>
      </c>
      <c r="Z20">
        <v>8</v>
      </c>
      <c r="AA20">
        <v>10</v>
      </c>
      <c r="AB20">
        <v>9</v>
      </c>
      <c r="AC20">
        <v>4</v>
      </c>
      <c r="AD20">
        <v>12</v>
      </c>
      <c r="AE20">
        <v>19</v>
      </c>
      <c r="AF20" t="s">
        <v>165</v>
      </c>
      <c r="AG20" t="s">
        <v>186</v>
      </c>
      <c r="AH20" t="s">
        <v>186</v>
      </c>
      <c r="AI20" t="s">
        <v>186</v>
      </c>
      <c r="AJ20">
        <v>8</v>
      </c>
      <c r="AK20">
        <v>2</v>
      </c>
      <c r="AL20" t="s">
        <v>206</v>
      </c>
      <c r="AM20">
        <v>197</v>
      </c>
      <c r="AN20">
        <v>4</v>
      </c>
      <c r="AO20">
        <v>96</v>
      </c>
      <c r="AP20">
        <v>130</v>
      </c>
      <c r="AQ20">
        <v>3000</v>
      </c>
      <c r="AR20">
        <v>520</v>
      </c>
      <c r="AS20">
        <v>1560</v>
      </c>
      <c r="AT20">
        <f t="shared" si="0"/>
        <v>12480</v>
      </c>
      <c r="AU20">
        <v>48</v>
      </c>
      <c r="AV20">
        <f t="shared" si="1"/>
        <v>384</v>
      </c>
      <c r="AW20">
        <f t="shared" si="2"/>
        <v>1152</v>
      </c>
      <c r="AX20">
        <f t="shared" si="3"/>
        <v>2364</v>
      </c>
      <c r="AY20">
        <v>6240</v>
      </c>
    </row>
    <row r="21" spans="1:51" x14ac:dyDescent="0.25">
      <c r="A21" t="s">
        <v>69</v>
      </c>
      <c r="B21" t="s">
        <v>104</v>
      </c>
      <c r="C21" s="1">
        <v>45913</v>
      </c>
      <c r="D21" t="s">
        <v>107</v>
      </c>
      <c r="E21" t="s">
        <v>117</v>
      </c>
      <c r="F21">
        <v>3</v>
      </c>
      <c r="G21">
        <v>1</v>
      </c>
      <c r="H21" t="s">
        <v>123</v>
      </c>
      <c r="I21">
        <v>0</v>
      </c>
      <c r="J21">
        <v>1</v>
      </c>
      <c r="K21" t="s">
        <v>124</v>
      </c>
      <c r="L21">
        <v>2.7</v>
      </c>
      <c r="M21">
        <v>3.5</v>
      </c>
      <c r="N21">
        <v>2.25</v>
      </c>
      <c r="O21" t="s">
        <v>130</v>
      </c>
      <c r="P21" t="s">
        <v>136</v>
      </c>
      <c r="Q21">
        <v>14</v>
      </c>
      <c r="R21">
        <v>6</v>
      </c>
      <c r="S21">
        <v>7</v>
      </c>
      <c r="T21">
        <v>2</v>
      </c>
      <c r="U21">
        <v>1</v>
      </c>
      <c r="V21">
        <v>1</v>
      </c>
      <c r="W21">
        <v>1</v>
      </c>
      <c r="X21">
        <v>0</v>
      </c>
      <c r="Y21">
        <v>7</v>
      </c>
      <c r="Z21">
        <v>1</v>
      </c>
      <c r="AA21">
        <v>8</v>
      </c>
      <c r="AB21">
        <v>13</v>
      </c>
      <c r="AC21">
        <v>4</v>
      </c>
      <c r="AD21">
        <v>8</v>
      </c>
      <c r="AE21">
        <v>21</v>
      </c>
      <c r="AF21" t="s">
        <v>151</v>
      </c>
      <c r="AG21" t="s">
        <v>186</v>
      </c>
      <c r="AH21" t="s">
        <v>186</v>
      </c>
      <c r="AI21" t="s">
        <v>186</v>
      </c>
      <c r="AJ21">
        <v>2</v>
      </c>
      <c r="AK21">
        <v>1</v>
      </c>
      <c r="AL21" t="s">
        <v>207</v>
      </c>
      <c r="AM21">
        <v>277</v>
      </c>
      <c r="AN21">
        <v>4</v>
      </c>
      <c r="AO21">
        <v>78</v>
      </c>
      <c r="AP21">
        <v>45</v>
      </c>
      <c r="AQ21">
        <v>350</v>
      </c>
      <c r="AR21">
        <v>180</v>
      </c>
      <c r="AS21">
        <v>360</v>
      </c>
      <c r="AT21">
        <f t="shared" si="0"/>
        <v>3510</v>
      </c>
      <c r="AU21">
        <v>32</v>
      </c>
      <c r="AV21">
        <f t="shared" si="1"/>
        <v>312</v>
      </c>
      <c r="AW21">
        <f t="shared" si="2"/>
        <v>624</v>
      </c>
      <c r="AX21">
        <f t="shared" si="3"/>
        <v>2216</v>
      </c>
      <c r="AY21">
        <v>1440</v>
      </c>
    </row>
    <row r="22" spans="1:51" x14ac:dyDescent="0.25">
      <c r="A22" t="s">
        <v>70</v>
      </c>
      <c r="B22" t="s">
        <v>104</v>
      </c>
      <c r="C22" s="1">
        <v>45913</v>
      </c>
      <c r="D22" t="s">
        <v>108</v>
      </c>
      <c r="E22" t="s">
        <v>121</v>
      </c>
      <c r="F22">
        <v>0</v>
      </c>
      <c r="G22">
        <v>2</v>
      </c>
      <c r="H22" t="s">
        <v>124</v>
      </c>
      <c r="I22">
        <v>0</v>
      </c>
      <c r="J22">
        <v>2</v>
      </c>
      <c r="K22" t="s">
        <v>124</v>
      </c>
      <c r="L22">
        <v>5</v>
      </c>
      <c r="M22">
        <v>4.2</v>
      </c>
      <c r="N22">
        <v>1.5</v>
      </c>
      <c r="O22" t="s">
        <v>132</v>
      </c>
      <c r="P22" t="s">
        <v>132</v>
      </c>
      <c r="Q22">
        <v>6</v>
      </c>
      <c r="R22">
        <v>1</v>
      </c>
      <c r="S22">
        <v>17</v>
      </c>
      <c r="T22">
        <v>8</v>
      </c>
      <c r="U22">
        <v>2</v>
      </c>
      <c r="V22">
        <v>3</v>
      </c>
      <c r="W22">
        <v>1</v>
      </c>
      <c r="X22">
        <v>0</v>
      </c>
      <c r="Y22">
        <v>5</v>
      </c>
      <c r="Z22">
        <v>4</v>
      </c>
      <c r="AA22">
        <v>5</v>
      </c>
      <c r="AB22">
        <v>9</v>
      </c>
      <c r="AC22">
        <v>2</v>
      </c>
      <c r="AD22">
        <v>9</v>
      </c>
      <c r="AE22">
        <v>14</v>
      </c>
      <c r="AF22" t="s">
        <v>166</v>
      </c>
      <c r="AG22" t="s">
        <v>186</v>
      </c>
      <c r="AH22" t="s">
        <v>187</v>
      </c>
      <c r="AI22" t="s">
        <v>187</v>
      </c>
      <c r="AJ22">
        <v>5</v>
      </c>
      <c r="AK22">
        <v>1</v>
      </c>
      <c r="AL22" t="s">
        <v>208</v>
      </c>
      <c r="AM22">
        <v>78</v>
      </c>
      <c r="AN22">
        <v>2</v>
      </c>
      <c r="AO22">
        <v>23</v>
      </c>
      <c r="AP22">
        <v>75</v>
      </c>
      <c r="AQ22">
        <v>1350</v>
      </c>
      <c r="AR22">
        <v>150</v>
      </c>
      <c r="AS22">
        <v>675</v>
      </c>
      <c r="AT22">
        <f t="shared" si="0"/>
        <v>1725</v>
      </c>
      <c r="AU22">
        <v>18</v>
      </c>
      <c r="AV22">
        <f t="shared" si="1"/>
        <v>46</v>
      </c>
      <c r="AW22">
        <f t="shared" si="2"/>
        <v>207</v>
      </c>
      <c r="AX22">
        <f t="shared" si="3"/>
        <v>702</v>
      </c>
      <c r="AY22">
        <v>1350</v>
      </c>
    </row>
    <row r="23" spans="1:51" x14ac:dyDescent="0.25">
      <c r="A23" t="s">
        <v>71</v>
      </c>
      <c r="B23" t="s">
        <v>104</v>
      </c>
      <c r="C23" s="1">
        <v>45913</v>
      </c>
      <c r="D23" t="s">
        <v>112</v>
      </c>
      <c r="E23" t="s">
        <v>116</v>
      </c>
      <c r="F23">
        <v>0</v>
      </c>
      <c r="G23">
        <v>1</v>
      </c>
      <c r="H23" t="s">
        <v>124</v>
      </c>
      <c r="I23">
        <v>0</v>
      </c>
      <c r="J23">
        <v>1</v>
      </c>
      <c r="K23" t="s">
        <v>124</v>
      </c>
      <c r="L23">
        <v>2.4500000000000002</v>
      </c>
      <c r="M23">
        <v>3.5</v>
      </c>
      <c r="N23">
        <v>2.4500000000000002</v>
      </c>
      <c r="O23" t="s">
        <v>130</v>
      </c>
      <c r="P23" t="s">
        <v>130</v>
      </c>
      <c r="Q23">
        <v>13</v>
      </c>
      <c r="R23">
        <v>2</v>
      </c>
      <c r="S23">
        <v>19</v>
      </c>
      <c r="T23">
        <v>3</v>
      </c>
      <c r="U23">
        <v>1</v>
      </c>
      <c r="V23">
        <v>0</v>
      </c>
      <c r="W23">
        <v>0</v>
      </c>
      <c r="X23">
        <v>0</v>
      </c>
      <c r="Y23">
        <v>3</v>
      </c>
      <c r="Z23">
        <v>5</v>
      </c>
      <c r="AA23">
        <v>12</v>
      </c>
      <c r="AB23">
        <v>11</v>
      </c>
      <c r="AC23">
        <v>1</v>
      </c>
      <c r="AD23">
        <v>8</v>
      </c>
      <c r="AE23">
        <v>23</v>
      </c>
      <c r="AF23" t="s">
        <v>164</v>
      </c>
      <c r="AG23" t="s">
        <v>187</v>
      </c>
      <c r="AH23" t="s">
        <v>187</v>
      </c>
      <c r="AI23" t="s">
        <v>187</v>
      </c>
      <c r="AJ23">
        <v>1</v>
      </c>
      <c r="AK23">
        <v>0</v>
      </c>
      <c r="AL23" t="s">
        <v>209</v>
      </c>
      <c r="AM23">
        <v>40</v>
      </c>
      <c r="AN23">
        <v>1</v>
      </c>
      <c r="AO23">
        <v>9</v>
      </c>
      <c r="AP23">
        <v>10</v>
      </c>
      <c r="AQ23">
        <v>0</v>
      </c>
      <c r="AR23">
        <v>10</v>
      </c>
      <c r="AS23">
        <v>80</v>
      </c>
      <c r="AT23">
        <f t="shared" si="0"/>
        <v>90</v>
      </c>
      <c r="AU23">
        <v>8</v>
      </c>
      <c r="AV23">
        <f t="shared" si="1"/>
        <v>9</v>
      </c>
      <c r="AW23">
        <f t="shared" si="2"/>
        <v>72</v>
      </c>
      <c r="AX23">
        <f t="shared" si="3"/>
        <v>320</v>
      </c>
      <c r="AY23">
        <v>80</v>
      </c>
    </row>
    <row r="24" spans="1:51" x14ac:dyDescent="0.25">
      <c r="A24" t="s">
        <v>72</v>
      </c>
      <c r="B24" t="s">
        <v>104</v>
      </c>
      <c r="C24" s="1">
        <v>45913</v>
      </c>
      <c r="D24" t="s">
        <v>110</v>
      </c>
      <c r="E24" t="s">
        <v>115</v>
      </c>
      <c r="F24">
        <v>2</v>
      </c>
      <c r="G24">
        <v>4</v>
      </c>
      <c r="H24" t="s">
        <v>124</v>
      </c>
      <c r="I24">
        <v>0</v>
      </c>
      <c r="J24">
        <v>2</v>
      </c>
      <c r="K24" t="s">
        <v>124</v>
      </c>
      <c r="L24">
        <v>2.5</v>
      </c>
      <c r="M24">
        <v>3.3</v>
      </c>
      <c r="N24">
        <v>2.5499999999999998</v>
      </c>
      <c r="O24" t="s">
        <v>132</v>
      </c>
      <c r="P24" t="s">
        <v>144</v>
      </c>
      <c r="Q24">
        <v>20</v>
      </c>
      <c r="R24">
        <v>7</v>
      </c>
      <c r="S24">
        <v>9</v>
      </c>
      <c r="T24">
        <v>8</v>
      </c>
      <c r="U24">
        <v>1</v>
      </c>
      <c r="V24">
        <v>1</v>
      </c>
      <c r="W24">
        <v>1</v>
      </c>
      <c r="X24">
        <v>0</v>
      </c>
      <c r="Y24">
        <v>9</v>
      </c>
      <c r="Z24">
        <v>2</v>
      </c>
      <c r="AA24">
        <v>13</v>
      </c>
      <c r="AB24">
        <v>12</v>
      </c>
      <c r="AC24">
        <v>6</v>
      </c>
      <c r="AD24">
        <v>11</v>
      </c>
      <c r="AE24">
        <v>25</v>
      </c>
      <c r="AF24" t="s">
        <v>167</v>
      </c>
      <c r="AG24" t="s">
        <v>186</v>
      </c>
      <c r="AH24" t="s">
        <v>186</v>
      </c>
      <c r="AI24" t="s">
        <v>186</v>
      </c>
      <c r="AJ24">
        <v>2</v>
      </c>
      <c r="AK24">
        <v>1</v>
      </c>
      <c r="AL24" t="s">
        <v>210</v>
      </c>
      <c r="AM24">
        <v>344</v>
      </c>
      <c r="AN24">
        <v>6</v>
      </c>
      <c r="AO24">
        <v>93</v>
      </c>
      <c r="AP24">
        <v>45</v>
      </c>
      <c r="AQ24">
        <v>350</v>
      </c>
      <c r="AR24">
        <v>270</v>
      </c>
      <c r="AS24">
        <v>495</v>
      </c>
      <c r="AT24">
        <f t="shared" si="0"/>
        <v>4185</v>
      </c>
      <c r="AU24">
        <v>66</v>
      </c>
      <c r="AV24">
        <f t="shared" si="1"/>
        <v>558</v>
      </c>
      <c r="AW24">
        <f t="shared" si="2"/>
        <v>1023</v>
      </c>
      <c r="AX24">
        <f t="shared" si="3"/>
        <v>3784</v>
      </c>
      <c r="AY24">
        <v>2970</v>
      </c>
    </row>
    <row r="25" spans="1:51" x14ac:dyDescent="0.25">
      <c r="A25" t="s">
        <v>73</v>
      </c>
      <c r="B25" t="s">
        <v>104</v>
      </c>
      <c r="C25" s="1">
        <v>45913</v>
      </c>
      <c r="D25" t="s">
        <v>120</v>
      </c>
      <c r="E25" t="s">
        <v>122</v>
      </c>
      <c r="F25">
        <v>3</v>
      </c>
      <c r="G25">
        <v>3</v>
      </c>
      <c r="H25" t="s">
        <v>125</v>
      </c>
      <c r="I25">
        <v>1</v>
      </c>
      <c r="J25">
        <v>1</v>
      </c>
      <c r="K25" t="s">
        <v>125</v>
      </c>
      <c r="L25">
        <v>1.93</v>
      </c>
      <c r="M25">
        <v>3.5</v>
      </c>
      <c r="N25">
        <v>3.4</v>
      </c>
      <c r="O25" t="s">
        <v>129</v>
      </c>
      <c r="P25" t="s">
        <v>142</v>
      </c>
      <c r="Q25">
        <v>14</v>
      </c>
      <c r="R25">
        <v>6</v>
      </c>
      <c r="S25">
        <v>14</v>
      </c>
      <c r="T25">
        <v>8</v>
      </c>
      <c r="U25">
        <v>2</v>
      </c>
      <c r="V25">
        <v>3</v>
      </c>
      <c r="W25">
        <v>0</v>
      </c>
      <c r="X25">
        <v>0</v>
      </c>
      <c r="Y25">
        <v>7</v>
      </c>
      <c r="Z25">
        <v>4</v>
      </c>
      <c r="AA25">
        <v>15</v>
      </c>
      <c r="AB25">
        <v>11</v>
      </c>
      <c r="AC25">
        <v>6</v>
      </c>
      <c r="AD25">
        <v>11</v>
      </c>
      <c r="AE25">
        <v>26</v>
      </c>
      <c r="AF25" t="s">
        <v>168</v>
      </c>
      <c r="AG25" t="s">
        <v>186</v>
      </c>
      <c r="AH25" t="s">
        <v>186</v>
      </c>
      <c r="AI25" t="s">
        <v>186</v>
      </c>
      <c r="AJ25">
        <v>5</v>
      </c>
      <c r="AK25">
        <v>0</v>
      </c>
      <c r="AL25" t="s">
        <v>211</v>
      </c>
      <c r="AM25">
        <v>382</v>
      </c>
      <c r="AN25">
        <v>6</v>
      </c>
      <c r="AO25">
        <v>69</v>
      </c>
      <c r="AP25">
        <v>50</v>
      </c>
      <c r="AQ25">
        <v>600</v>
      </c>
      <c r="AR25">
        <v>300</v>
      </c>
      <c r="AS25">
        <v>550</v>
      </c>
      <c r="AT25">
        <f t="shared" si="0"/>
        <v>3450</v>
      </c>
      <c r="AU25">
        <v>66</v>
      </c>
      <c r="AV25">
        <f t="shared" si="1"/>
        <v>414</v>
      </c>
      <c r="AW25">
        <f t="shared" si="2"/>
        <v>759</v>
      </c>
      <c r="AX25">
        <f t="shared" si="3"/>
        <v>4202</v>
      </c>
      <c r="AY25">
        <v>3300</v>
      </c>
    </row>
    <row r="26" spans="1:51" x14ac:dyDescent="0.25">
      <c r="A26" t="s">
        <v>74</v>
      </c>
      <c r="B26" t="s">
        <v>104</v>
      </c>
      <c r="C26" s="1">
        <v>45913</v>
      </c>
      <c r="D26" t="s">
        <v>105</v>
      </c>
      <c r="E26" t="s">
        <v>114</v>
      </c>
      <c r="F26">
        <v>5</v>
      </c>
      <c r="G26">
        <v>0</v>
      </c>
      <c r="H26" t="s">
        <v>123</v>
      </c>
      <c r="I26">
        <v>4</v>
      </c>
      <c r="J26">
        <v>0</v>
      </c>
      <c r="K26" t="s">
        <v>123</v>
      </c>
      <c r="L26">
        <v>1.06</v>
      </c>
      <c r="M26">
        <v>9.5</v>
      </c>
      <c r="N26">
        <v>21</v>
      </c>
      <c r="O26" t="s">
        <v>135</v>
      </c>
      <c r="P26" t="s">
        <v>145</v>
      </c>
      <c r="Q26">
        <v>22</v>
      </c>
      <c r="R26">
        <v>12</v>
      </c>
      <c r="S26">
        <v>9</v>
      </c>
      <c r="T26">
        <v>2</v>
      </c>
      <c r="U26">
        <v>2</v>
      </c>
      <c r="V26">
        <v>2</v>
      </c>
      <c r="W26">
        <v>0</v>
      </c>
      <c r="X26">
        <v>0</v>
      </c>
      <c r="Y26">
        <v>5</v>
      </c>
      <c r="Z26">
        <v>3</v>
      </c>
      <c r="AA26">
        <v>11</v>
      </c>
      <c r="AB26">
        <v>14</v>
      </c>
      <c r="AC26">
        <v>5</v>
      </c>
      <c r="AD26">
        <v>8</v>
      </c>
      <c r="AE26">
        <v>25</v>
      </c>
      <c r="AF26" t="s">
        <v>169</v>
      </c>
      <c r="AG26" t="s">
        <v>186</v>
      </c>
      <c r="AH26" t="s">
        <v>186</v>
      </c>
      <c r="AI26" t="s">
        <v>186</v>
      </c>
      <c r="AJ26">
        <v>4</v>
      </c>
      <c r="AK26">
        <v>0</v>
      </c>
      <c r="AL26" t="s">
        <v>212</v>
      </c>
      <c r="AM26">
        <v>129</v>
      </c>
      <c r="AN26">
        <v>5</v>
      </c>
      <c r="AO26">
        <v>84</v>
      </c>
      <c r="AP26">
        <v>40</v>
      </c>
      <c r="AQ26">
        <v>400</v>
      </c>
      <c r="AR26">
        <v>200</v>
      </c>
      <c r="AS26">
        <v>320</v>
      </c>
      <c r="AT26">
        <f t="shared" si="0"/>
        <v>3360</v>
      </c>
      <c r="AU26">
        <v>40</v>
      </c>
      <c r="AV26">
        <f t="shared" si="1"/>
        <v>420</v>
      </c>
      <c r="AW26">
        <f t="shared" si="2"/>
        <v>672</v>
      </c>
      <c r="AX26">
        <f t="shared" si="3"/>
        <v>1032</v>
      </c>
      <c r="AY26">
        <v>1600</v>
      </c>
    </row>
    <row r="27" spans="1:51" x14ac:dyDescent="0.25">
      <c r="A27" t="s">
        <v>75</v>
      </c>
      <c r="B27" t="s">
        <v>104</v>
      </c>
      <c r="C27" s="1">
        <v>45914</v>
      </c>
      <c r="D27" t="s">
        <v>111</v>
      </c>
      <c r="E27" t="s">
        <v>119</v>
      </c>
      <c r="F27">
        <v>2</v>
      </c>
      <c r="G27">
        <v>1</v>
      </c>
      <c r="H27" t="s">
        <v>123</v>
      </c>
      <c r="I27">
        <v>1</v>
      </c>
      <c r="J27">
        <v>1</v>
      </c>
      <c r="K27" t="s">
        <v>125</v>
      </c>
      <c r="L27">
        <v>2.1</v>
      </c>
      <c r="M27">
        <v>3.2</v>
      </c>
      <c r="N27">
        <v>3.2</v>
      </c>
      <c r="O27" t="s">
        <v>129</v>
      </c>
      <c r="P27" t="s">
        <v>141</v>
      </c>
      <c r="Q27">
        <v>13</v>
      </c>
      <c r="R27">
        <v>7</v>
      </c>
      <c r="S27">
        <v>10</v>
      </c>
      <c r="T27">
        <v>5</v>
      </c>
      <c r="U27">
        <v>1</v>
      </c>
      <c r="V27">
        <v>4</v>
      </c>
      <c r="W27">
        <v>0</v>
      </c>
      <c r="X27">
        <v>0</v>
      </c>
      <c r="Y27">
        <v>3</v>
      </c>
      <c r="Z27">
        <v>1</v>
      </c>
      <c r="AA27">
        <v>10</v>
      </c>
      <c r="AB27">
        <v>12</v>
      </c>
      <c r="AC27">
        <v>3</v>
      </c>
      <c r="AD27">
        <v>4</v>
      </c>
      <c r="AE27">
        <v>22</v>
      </c>
      <c r="AF27" t="s">
        <v>136</v>
      </c>
      <c r="AG27" t="s">
        <v>186</v>
      </c>
      <c r="AH27" t="s">
        <v>186</v>
      </c>
      <c r="AI27" t="s">
        <v>187</v>
      </c>
      <c r="AJ27">
        <v>5</v>
      </c>
      <c r="AK27">
        <v>0</v>
      </c>
      <c r="AL27" t="s">
        <v>213</v>
      </c>
      <c r="AM27">
        <v>138</v>
      </c>
      <c r="AN27">
        <v>3</v>
      </c>
      <c r="AO27">
        <v>69</v>
      </c>
      <c r="AP27">
        <v>50</v>
      </c>
      <c r="AQ27">
        <v>400</v>
      </c>
      <c r="AR27">
        <v>150</v>
      </c>
      <c r="AS27">
        <v>200</v>
      </c>
      <c r="AT27">
        <f t="shared" si="0"/>
        <v>3450</v>
      </c>
      <c r="AU27">
        <v>12</v>
      </c>
      <c r="AV27">
        <f t="shared" si="1"/>
        <v>207</v>
      </c>
      <c r="AW27">
        <f t="shared" si="2"/>
        <v>276</v>
      </c>
      <c r="AX27">
        <f t="shared" si="3"/>
        <v>552</v>
      </c>
      <c r="AY27">
        <v>600</v>
      </c>
    </row>
    <row r="28" spans="1:51" x14ac:dyDescent="0.25">
      <c r="A28" t="s">
        <v>76</v>
      </c>
      <c r="B28" t="s">
        <v>104</v>
      </c>
      <c r="C28" s="1">
        <v>45914</v>
      </c>
      <c r="D28" t="s">
        <v>113</v>
      </c>
      <c r="E28" t="s">
        <v>118</v>
      </c>
      <c r="F28">
        <v>0</v>
      </c>
      <c r="G28">
        <v>4</v>
      </c>
      <c r="H28" t="s">
        <v>124</v>
      </c>
      <c r="I28">
        <v>0</v>
      </c>
      <c r="J28">
        <v>2</v>
      </c>
      <c r="K28" t="s">
        <v>124</v>
      </c>
      <c r="L28">
        <v>1.93</v>
      </c>
      <c r="M28">
        <v>3.75</v>
      </c>
      <c r="N28">
        <v>3.2</v>
      </c>
      <c r="O28" t="s">
        <v>132</v>
      </c>
      <c r="P28" t="s">
        <v>146</v>
      </c>
      <c r="Q28">
        <v>19</v>
      </c>
      <c r="R28">
        <v>3</v>
      </c>
      <c r="S28">
        <v>12</v>
      </c>
      <c r="T28">
        <v>7</v>
      </c>
      <c r="U28">
        <v>1</v>
      </c>
      <c r="V28">
        <v>0</v>
      </c>
      <c r="W28">
        <v>0</v>
      </c>
      <c r="X28">
        <v>0</v>
      </c>
      <c r="Y28">
        <v>9</v>
      </c>
      <c r="Z28">
        <v>4</v>
      </c>
      <c r="AA28">
        <v>12</v>
      </c>
      <c r="AB28">
        <v>9</v>
      </c>
      <c r="AC28">
        <v>4</v>
      </c>
      <c r="AD28">
        <v>13</v>
      </c>
      <c r="AE28">
        <v>21</v>
      </c>
      <c r="AF28" t="s">
        <v>170</v>
      </c>
      <c r="AG28" t="s">
        <v>186</v>
      </c>
      <c r="AH28" t="s">
        <v>186</v>
      </c>
      <c r="AI28" t="s">
        <v>186</v>
      </c>
      <c r="AJ28">
        <v>1</v>
      </c>
      <c r="AK28">
        <v>0</v>
      </c>
      <c r="AL28" t="s">
        <v>214</v>
      </c>
      <c r="AM28">
        <v>196</v>
      </c>
      <c r="AN28">
        <v>4</v>
      </c>
      <c r="AO28">
        <v>44</v>
      </c>
      <c r="AP28">
        <v>10</v>
      </c>
      <c r="AQ28">
        <v>0</v>
      </c>
      <c r="AR28">
        <v>40</v>
      </c>
      <c r="AS28">
        <v>130</v>
      </c>
      <c r="AT28">
        <f t="shared" si="0"/>
        <v>440</v>
      </c>
      <c r="AU28">
        <v>52</v>
      </c>
      <c r="AV28">
        <f t="shared" si="1"/>
        <v>176</v>
      </c>
      <c r="AW28">
        <f t="shared" si="2"/>
        <v>572</v>
      </c>
      <c r="AX28">
        <f t="shared" si="3"/>
        <v>2548</v>
      </c>
      <c r="AY28">
        <v>520</v>
      </c>
    </row>
    <row r="29" spans="1:51" x14ac:dyDescent="0.25">
      <c r="A29" t="s">
        <v>77</v>
      </c>
      <c r="B29" t="s">
        <v>104</v>
      </c>
      <c r="C29" s="1">
        <v>45919</v>
      </c>
      <c r="D29" t="s">
        <v>117</v>
      </c>
      <c r="E29" t="s">
        <v>111</v>
      </c>
      <c r="F29">
        <v>2</v>
      </c>
      <c r="G29">
        <v>0</v>
      </c>
      <c r="H29" t="s">
        <v>123</v>
      </c>
      <c r="I29">
        <v>1</v>
      </c>
      <c r="J29">
        <v>0</v>
      </c>
      <c r="K29" t="s">
        <v>123</v>
      </c>
      <c r="L29">
        <v>1.73</v>
      </c>
      <c r="M29">
        <v>3.9</v>
      </c>
      <c r="N29">
        <v>4.4000000000000004</v>
      </c>
      <c r="O29" t="s">
        <v>134</v>
      </c>
      <c r="P29" t="s">
        <v>127</v>
      </c>
      <c r="Q29">
        <v>17</v>
      </c>
      <c r="R29">
        <v>8</v>
      </c>
      <c r="S29">
        <v>9</v>
      </c>
      <c r="T29">
        <v>2</v>
      </c>
      <c r="U29">
        <v>0</v>
      </c>
      <c r="V29">
        <v>2</v>
      </c>
      <c r="W29">
        <v>0</v>
      </c>
      <c r="X29">
        <v>0</v>
      </c>
      <c r="Y29">
        <v>8</v>
      </c>
      <c r="Z29">
        <v>4</v>
      </c>
      <c r="AA29">
        <v>13</v>
      </c>
      <c r="AB29">
        <v>15</v>
      </c>
      <c r="AC29">
        <v>2</v>
      </c>
      <c r="AD29">
        <v>12</v>
      </c>
      <c r="AE29">
        <v>28</v>
      </c>
      <c r="AF29" t="s">
        <v>171</v>
      </c>
      <c r="AG29" t="s">
        <v>186</v>
      </c>
      <c r="AH29" t="s">
        <v>187</v>
      </c>
      <c r="AI29" t="s">
        <v>187</v>
      </c>
      <c r="AJ29">
        <v>2</v>
      </c>
      <c r="AK29">
        <v>0</v>
      </c>
      <c r="AL29" t="s">
        <v>215</v>
      </c>
      <c r="AM29">
        <v>93</v>
      </c>
      <c r="AN29">
        <v>2</v>
      </c>
      <c r="AO29">
        <v>20</v>
      </c>
      <c r="AP29">
        <v>20</v>
      </c>
      <c r="AQ29">
        <v>0</v>
      </c>
      <c r="AR29">
        <v>40</v>
      </c>
      <c r="AS29">
        <v>240</v>
      </c>
      <c r="AT29">
        <f t="shared" si="0"/>
        <v>400</v>
      </c>
      <c r="AU29">
        <v>24</v>
      </c>
      <c r="AV29">
        <f t="shared" si="1"/>
        <v>40</v>
      </c>
      <c r="AW29">
        <f t="shared" si="2"/>
        <v>240</v>
      </c>
      <c r="AX29">
        <f t="shared" si="3"/>
        <v>1116</v>
      </c>
      <c r="AY29">
        <v>480</v>
      </c>
    </row>
    <row r="30" spans="1:51" x14ac:dyDescent="0.25">
      <c r="A30" t="s">
        <v>78</v>
      </c>
      <c r="B30" t="s">
        <v>104</v>
      </c>
      <c r="C30" s="1">
        <v>45920</v>
      </c>
      <c r="D30" t="s">
        <v>119</v>
      </c>
      <c r="E30" t="s">
        <v>112</v>
      </c>
      <c r="F30">
        <v>1</v>
      </c>
      <c r="G30">
        <v>4</v>
      </c>
      <c r="H30" t="s">
        <v>124</v>
      </c>
      <c r="I30">
        <v>0</v>
      </c>
      <c r="J30">
        <v>2</v>
      </c>
      <c r="K30" t="s">
        <v>124</v>
      </c>
      <c r="L30">
        <v>2.6</v>
      </c>
      <c r="M30">
        <v>3.25</v>
      </c>
      <c r="N30">
        <v>2.5</v>
      </c>
      <c r="O30" t="s">
        <v>132</v>
      </c>
      <c r="P30" t="s">
        <v>147</v>
      </c>
      <c r="Q30">
        <v>18</v>
      </c>
      <c r="R30">
        <v>5</v>
      </c>
      <c r="S30">
        <v>12</v>
      </c>
      <c r="T30">
        <v>4</v>
      </c>
      <c r="U30">
        <v>1</v>
      </c>
      <c r="V30">
        <v>2</v>
      </c>
      <c r="W30">
        <v>0</v>
      </c>
      <c r="X30">
        <v>1</v>
      </c>
      <c r="Y30">
        <v>6</v>
      </c>
      <c r="Z30">
        <v>6</v>
      </c>
      <c r="AA30">
        <v>13</v>
      </c>
      <c r="AB30">
        <v>10</v>
      </c>
      <c r="AC30">
        <v>5</v>
      </c>
      <c r="AD30">
        <v>12</v>
      </c>
      <c r="AE30">
        <v>23</v>
      </c>
      <c r="AF30" t="s">
        <v>172</v>
      </c>
      <c r="AG30" t="s">
        <v>186</v>
      </c>
      <c r="AH30" t="s">
        <v>186</v>
      </c>
      <c r="AI30" t="s">
        <v>186</v>
      </c>
      <c r="AJ30">
        <v>3</v>
      </c>
      <c r="AK30">
        <v>1</v>
      </c>
      <c r="AL30" t="s">
        <v>216</v>
      </c>
      <c r="AM30">
        <v>252</v>
      </c>
      <c r="AN30">
        <v>5</v>
      </c>
      <c r="AO30">
        <v>65</v>
      </c>
      <c r="AP30">
        <v>55</v>
      </c>
      <c r="AQ30">
        <v>450</v>
      </c>
      <c r="AR30">
        <v>275</v>
      </c>
      <c r="AS30">
        <v>660</v>
      </c>
      <c r="AT30">
        <f t="shared" si="0"/>
        <v>3575</v>
      </c>
      <c r="AU30">
        <v>60</v>
      </c>
      <c r="AV30">
        <f t="shared" si="1"/>
        <v>325</v>
      </c>
      <c r="AW30">
        <f t="shared" si="2"/>
        <v>780</v>
      </c>
      <c r="AX30">
        <f t="shared" si="3"/>
        <v>3024</v>
      </c>
      <c r="AY30">
        <v>3300</v>
      </c>
    </row>
    <row r="31" spans="1:51" x14ac:dyDescent="0.25">
      <c r="A31" t="s">
        <v>79</v>
      </c>
      <c r="B31" t="s">
        <v>104</v>
      </c>
      <c r="C31" s="1">
        <v>45920</v>
      </c>
      <c r="D31" t="s">
        <v>114</v>
      </c>
      <c r="E31" t="s">
        <v>108</v>
      </c>
      <c r="F31">
        <v>2</v>
      </c>
      <c r="G31">
        <v>1</v>
      </c>
      <c r="H31" t="s">
        <v>123</v>
      </c>
      <c r="I31">
        <v>1</v>
      </c>
      <c r="J31">
        <v>0</v>
      </c>
      <c r="K31" t="s">
        <v>123</v>
      </c>
      <c r="L31">
        <v>2</v>
      </c>
      <c r="M31">
        <v>3.4</v>
      </c>
      <c r="N31">
        <v>3.25</v>
      </c>
      <c r="O31" t="s">
        <v>134</v>
      </c>
      <c r="P31" t="s">
        <v>141</v>
      </c>
      <c r="Q31">
        <v>22</v>
      </c>
      <c r="R31">
        <v>9</v>
      </c>
      <c r="S31">
        <v>20</v>
      </c>
      <c r="T31">
        <v>8</v>
      </c>
      <c r="U31">
        <v>5</v>
      </c>
      <c r="V31">
        <v>1</v>
      </c>
      <c r="W31">
        <v>0</v>
      </c>
      <c r="X31">
        <v>0</v>
      </c>
      <c r="Y31">
        <v>1</v>
      </c>
      <c r="Z31">
        <v>12</v>
      </c>
      <c r="AA31">
        <v>15</v>
      </c>
      <c r="AB31">
        <v>10</v>
      </c>
      <c r="AC31">
        <v>3</v>
      </c>
      <c r="AD31">
        <v>13</v>
      </c>
      <c r="AE31">
        <v>25</v>
      </c>
      <c r="AF31" t="s">
        <v>173</v>
      </c>
      <c r="AG31" t="s">
        <v>186</v>
      </c>
      <c r="AH31" t="s">
        <v>186</v>
      </c>
      <c r="AI31" t="s">
        <v>187</v>
      </c>
      <c r="AJ31">
        <v>6</v>
      </c>
      <c r="AK31">
        <v>0</v>
      </c>
      <c r="AL31" t="s">
        <v>217</v>
      </c>
      <c r="AM31">
        <v>191</v>
      </c>
      <c r="AN31">
        <v>3</v>
      </c>
      <c r="AO31">
        <v>86</v>
      </c>
      <c r="AP31">
        <v>60</v>
      </c>
      <c r="AQ31">
        <v>500</v>
      </c>
      <c r="AR31">
        <v>180</v>
      </c>
      <c r="AS31">
        <v>780</v>
      </c>
      <c r="AT31">
        <f t="shared" si="0"/>
        <v>5160</v>
      </c>
      <c r="AU31">
        <v>39</v>
      </c>
      <c r="AV31">
        <f t="shared" si="1"/>
        <v>258</v>
      </c>
      <c r="AW31">
        <f t="shared" si="2"/>
        <v>1118</v>
      </c>
      <c r="AX31">
        <f t="shared" si="3"/>
        <v>2483</v>
      </c>
      <c r="AY31">
        <v>2340</v>
      </c>
    </row>
    <row r="32" spans="1:51" x14ac:dyDescent="0.25">
      <c r="A32" t="s">
        <v>80</v>
      </c>
      <c r="B32" t="s">
        <v>104</v>
      </c>
      <c r="C32" s="1">
        <v>45920</v>
      </c>
      <c r="D32" t="s">
        <v>115</v>
      </c>
      <c r="E32" t="s">
        <v>105</v>
      </c>
      <c r="F32">
        <v>1</v>
      </c>
      <c r="G32">
        <v>4</v>
      </c>
      <c r="H32" t="s">
        <v>124</v>
      </c>
      <c r="I32">
        <v>0</v>
      </c>
      <c r="J32">
        <v>1</v>
      </c>
      <c r="K32" t="s">
        <v>124</v>
      </c>
      <c r="L32">
        <v>7</v>
      </c>
      <c r="M32">
        <v>5.25</v>
      </c>
      <c r="N32">
        <v>1.3</v>
      </c>
      <c r="O32" t="s">
        <v>130</v>
      </c>
      <c r="P32" t="s">
        <v>147</v>
      </c>
      <c r="Q32">
        <v>12</v>
      </c>
      <c r="R32">
        <v>4</v>
      </c>
      <c r="S32">
        <v>18</v>
      </c>
      <c r="T32">
        <v>10</v>
      </c>
      <c r="U32">
        <v>1</v>
      </c>
      <c r="V32">
        <v>2</v>
      </c>
      <c r="W32">
        <v>0</v>
      </c>
      <c r="X32">
        <v>0</v>
      </c>
      <c r="Y32">
        <v>5</v>
      </c>
      <c r="Z32">
        <v>5</v>
      </c>
      <c r="AA32">
        <v>17</v>
      </c>
      <c r="AB32">
        <v>9</v>
      </c>
      <c r="AC32">
        <v>5</v>
      </c>
      <c r="AD32">
        <v>10</v>
      </c>
      <c r="AE32">
        <v>26</v>
      </c>
      <c r="AF32" t="s">
        <v>150</v>
      </c>
      <c r="AG32" t="s">
        <v>186</v>
      </c>
      <c r="AH32" t="s">
        <v>186</v>
      </c>
      <c r="AI32" t="s">
        <v>186</v>
      </c>
      <c r="AJ32">
        <v>3</v>
      </c>
      <c r="AK32">
        <v>0</v>
      </c>
      <c r="AL32" t="s">
        <v>218</v>
      </c>
      <c r="AM32">
        <v>341</v>
      </c>
      <c r="AN32">
        <v>5</v>
      </c>
      <c r="AO32">
        <v>68</v>
      </c>
      <c r="AP32">
        <v>30</v>
      </c>
      <c r="AQ32">
        <v>200</v>
      </c>
      <c r="AR32">
        <v>150</v>
      </c>
      <c r="AS32">
        <v>300</v>
      </c>
      <c r="AT32">
        <f t="shared" si="0"/>
        <v>2040</v>
      </c>
      <c r="AU32">
        <v>50</v>
      </c>
      <c r="AV32">
        <f t="shared" si="1"/>
        <v>340</v>
      </c>
      <c r="AW32">
        <f t="shared" si="2"/>
        <v>680</v>
      </c>
      <c r="AX32">
        <f t="shared" si="3"/>
        <v>3410</v>
      </c>
      <c r="AY32">
        <v>1500</v>
      </c>
    </row>
    <row r="33" spans="1:51" x14ac:dyDescent="0.25">
      <c r="A33" t="s">
        <v>81</v>
      </c>
      <c r="B33" t="s">
        <v>104</v>
      </c>
      <c r="C33" s="1">
        <v>45920</v>
      </c>
      <c r="D33" t="s">
        <v>118</v>
      </c>
      <c r="E33" t="s">
        <v>107</v>
      </c>
      <c r="F33">
        <v>0</v>
      </c>
      <c r="G33">
        <v>3</v>
      </c>
      <c r="H33" t="s">
        <v>124</v>
      </c>
      <c r="I33">
        <v>0</v>
      </c>
      <c r="J33">
        <v>1</v>
      </c>
      <c r="K33" t="s">
        <v>124</v>
      </c>
      <c r="L33">
        <v>2.2999999999999998</v>
      </c>
      <c r="M33">
        <v>3.5</v>
      </c>
      <c r="N33">
        <v>2.63</v>
      </c>
      <c r="O33" t="s">
        <v>130</v>
      </c>
      <c r="P33" t="s">
        <v>128</v>
      </c>
      <c r="Q33">
        <v>12</v>
      </c>
      <c r="R33">
        <v>5</v>
      </c>
      <c r="S33">
        <v>10</v>
      </c>
      <c r="T33">
        <v>5</v>
      </c>
      <c r="U33">
        <v>5</v>
      </c>
      <c r="V33">
        <v>2</v>
      </c>
      <c r="W33">
        <v>0</v>
      </c>
      <c r="X33">
        <v>0</v>
      </c>
      <c r="Y33">
        <v>2</v>
      </c>
      <c r="Z33">
        <v>0</v>
      </c>
      <c r="AA33">
        <v>13</v>
      </c>
      <c r="AB33">
        <v>7</v>
      </c>
      <c r="AC33">
        <v>3</v>
      </c>
      <c r="AD33">
        <v>2</v>
      </c>
      <c r="AE33">
        <v>20</v>
      </c>
      <c r="AF33" t="s">
        <v>127</v>
      </c>
      <c r="AG33" t="s">
        <v>186</v>
      </c>
      <c r="AH33" t="s">
        <v>186</v>
      </c>
      <c r="AI33" t="s">
        <v>187</v>
      </c>
      <c r="AJ33">
        <v>7</v>
      </c>
      <c r="AK33">
        <v>0</v>
      </c>
      <c r="AL33" t="s">
        <v>219</v>
      </c>
      <c r="AM33">
        <v>162</v>
      </c>
      <c r="AN33">
        <v>3</v>
      </c>
      <c r="AO33">
        <v>83</v>
      </c>
      <c r="AP33">
        <v>70</v>
      </c>
      <c r="AQ33">
        <v>1000</v>
      </c>
      <c r="AR33">
        <v>210</v>
      </c>
      <c r="AS33">
        <v>140</v>
      </c>
      <c r="AT33">
        <f t="shared" si="0"/>
        <v>5810</v>
      </c>
      <c r="AU33">
        <v>6</v>
      </c>
      <c r="AV33">
        <f t="shared" si="1"/>
        <v>249</v>
      </c>
      <c r="AW33">
        <f t="shared" si="2"/>
        <v>166</v>
      </c>
      <c r="AX33">
        <f t="shared" si="3"/>
        <v>324</v>
      </c>
      <c r="AY33">
        <v>420</v>
      </c>
    </row>
    <row r="34" spans="1:51" x14ac:dyDescent="0.25">
      <c r="A34" t="s">
        <v>82</v>
      </c>
      <c r="B34" t="s">
        <v>104</v>
      </c>
      <c r="C34" s="1">
        <v>45920</v>
      </c>
      <c r="D34" t="s">
        <v>116</v>
      </c>
      <c r="E34" t="s">
        <v>122</v>
      </c>
      <c r="F34">
        <v>3</v>
      </c>
      <c r="G34">
        <v>1</v>
      </c>
      <c r="H34" t="s">
        <v>123</v>
      </c>
      <c r="I34">
        <v>3</v>
      </c>
      <c r="J34">
        <v>1</v>
      </c>
      <c r="K34" t="s">
        <v>123</v>
      </c>
      <c r="L34">
        <v>1.6</v>
      </c>
      <c r="M34">
        <v>4</v>
      </c>
      <c r="N34">
        <v>4.5</v>
      </c>
      <c r="O34" t="s">
        <v>136</v>
      </c>
      <c r="P34" t="s">
        <v>136</v>
      </c>
      <c r="Q34">
        <v>18</v>
      </c>
      <c r="R34">
        <v>8</v>
      </c>
      <c r="S34">
        <v>13</v>
      </c>
      <c r="T34">
        <v>2</v>
      </c>
      <c r="U34">
        <v>1</v>
      </c>
      <c r="V34">
        <v>1</v>
      </c>
      <c r="W34">
        <v>0</v>
      </c>
      <c r="X34">
        <v>0</v>
      </c>
      <c r="Y34">
        <v>9</v>
      </c>
      <c r="Z34">
        <v>5</v>
      </c>
      <c r="AA34">
        <v>10</v>
      </c>
      <c r="AB34">
        <v>8</v>
      </c>
      <c r="AC34">
        <v>4</v>
      </c>
      <c r="AD34">
        <v>14</v>
      </c>
      <c r="AE34">
        <v>18</v>
      </c>
      <c r="AF34" t="s">
        <v>174</v>
      </c>
      <c r="AG34" t="s">
        <v>186</v>
      </c>
      <c r="AH34" t="s">
        <v>186</v>
      </c>
      <c r="AI34" t="s">
        <v>186</v>
      </c>
      <c r="AJ34">
        <v>2</v>
      </c>
      <c r="AK34">
        <v>0</v>
      </c>
      <c r="AL34" t="s">
        <v>220</v>
      </c>
      <c r="AM34">
        <v>125</v>
      </c>
      <c r="AN34">
        <v>4</v>
      </c>
      <c r="AO34">
        <v>111</v>
      </c>
      <c r="AP34">
        <v>20</v>
      </c>
      <c r="AQ34">
        <v>100</v>
      </c>
      <c r="AR34">
        <v>80</v>
      </c>
      <c r="AS34">
        <v>280</v>
      </c>
      <c r="AT34">
        <f t="shared" si="0"/>
        <v>2220</v>
      </c>
      <c r="AU34">
        <v>56</v>
      </c>
      <c r="AV34">
        <f t="shared" si="1"/>
        <v>444</v>
      </c>
      <c r="AW34">
        <f t="shared" si="2"/>
        <v>1554</v>
      </c>
      <c r="AX34">
        <f t="shared" si="3"/>
        <v>1750</v>
      </c>
      <c r="AY34">
        <v>1120</v>
      </c>
    </row>
    <row r="35" spans="1:51" x14ac:dyDescent="0.25">
      <c r="A35" t="s">
        <v>83</v>
      </c>
      <c r="B35" t="s">
        <v>104</v>
      </c>
      <c r="C35" s="1">
        <v>45921</v>
      </c>
      <c r="D35" t="s">
        <v>106</v>
      </c>
      <c r="E35" t="s">
        <v>110</v>
      </c>
      <c r="F35">
        <v>3</v>
      </c>
      <c r="G35">
        <v>4</v>
      </c>
      <c r="H35" t="s">
        <v>124</v>
      </c>
      <c r="I35">
        <v>1</v>
      </c>
      <c r="J35">
        <v>2</v>
      </c>
      <c r="K35" t="s">
        <v>124</v>
      </c>
      <c r="L35">
        <v>1.53</v>
      </c>
      <c r="M35">
        <v>4</v>
      </c>
      <c r="N35">
        <v>5</v>
      </c>
      <c r="O35" t="s">
        <v>133</v>
      </c>
      <c r="P35" t="s">
        <v>148</v>
      </c>
      <c r="Q35">
        <v>19</v>
      </c>
      <c r="R35">
        <v>10</v>
      </c>
      <c r="S35">
        <v>11</v>
      </c>
      <c r="T35">
        <v>5</v>
      </c>
      <c r="U35">
        <v>3</v>
      </c>
      <c r="V35">
        <v>2</v>
      </c>
      <c r="W35">
        <v>0</v>
      </c>
      <c r="X35">
        <v>0</v>
      </c>
      <c r="Y35">
        <v>5</v>
      </c>
      <c r="Z35">
        <v>1</v>
      </c>
      <c r="AA35">
        <v>10</v>
      </c>
      <c r="AB35">
        <v>11</v>
      </c>
      <c r="AC35">
        <v>7</v>
      </c>
      <c r="AD35">
        <v>6</v>
      </c>
      <c r="AE35">
        <v>21</v>
      </c>
      <c r="AF35" t="s">
        <v>175</v>
      </c>
      <c r="AG35" t="s">
        <v>186</v>
      </c>
      <c r="AH35" t="s">
        <v>186</v>
      </c>
      <c r="AI35" t="s">
        <v>186</v>
      </c>
      <c r="AJ35">
        <v>5</v>
      </c>
      <c r="AK35">
        <v>0</v>
      </c>
      <c r="AL35" t="s">
        <v>221</v>
      </c>
      <c r="AM35">
        <v>362</v>
      </c>
      <c r="AN35">
        <v>7</v>
      </c>
      <c r="AO35">
        <v>103</v>
      </c>
      <c r="AP35">
        <v>50</v>
      </c>
      <c r="AQ35">
        <v>600</v>
      </c>
      <c r="AR35">
        <v>350</v>
      </c>
      <c r="AS35">
        <v>300</v>
      </c>
      <c r="AT35">
        <f t="shared" si="0"/>
        <v>5150</v>
      </c>
      <c r="AU35">
        <v>42</v>
      </c>
      <c r="AV35">
        <f t="shared" si="1"/>
        <v>721</v>
      </c>
      <c r="AW35">
        <f t="shared" si="2"/>
        <v>618</v>
      </c>
      <c r="AX35">
        <f t="shared" si="3"/>
        <v>2172</v>
      </c>
      <c r="AY35">
        <v>2100</v>
      </c>
    </row>
    <row r="36" spans="1:51" x14ac:dyDescent="0.25">
      <c r="A36" t="s">
        <v>84</v>
      </c>
      <c r="B36" t="s">
        <v>104</v>
      </c>
      <c r="C36" s="1">
        <v>45921</v>
      </c>
      <c r="D36" t="s">
        <v>109</v>
      </c>
      <c r="E36" t="s">
        <v>113</v>
      </c>
      <c r="F36">
        <v>1</v>
      </c>
      <c r="G36">
        <v>1</v>
      </c>
      <c r="H36" t="s">
        <v>125</v>
      </c>
      <c r="I36">
        <v>0</v>
      </c>
      <c r="J36">
        <v>0</v>
      </c>
      <c r="K36" t="s">
        <v>125</v>
      </c>
      <c r="L36">
        <v>1.5</v>
      </c>
      <c r="M36">
        <v>4.2</v>
      </c>
      <c r="N36">
        <v>5</v>
      </c>
      <c r="O36" t="s">
        <v>131</v>
      </c>
      <c r="P36" t="s">
        <v>129</v>
      </c>
      <c r="Q36">
        <v>13</v>
      </c>
      <c r="R36">
        <v>9</v>
      </c>
      <c r="S36">
        <v>13</v>
      </c>
      <c r="T36">
        <v>7</v>
      </c>
      <c r="U36">
        <v>5</v>
      </c>
      <c r="V36">
        <v>5</v>
      </c>
      <c r="W36">
        <v>0</v>
      </c>
      <c r="X36">
        <v>0</v>
      </c>
      <c r="Y36">
        <v>3</v>
      </c>
      <c r="Z36">
        <v>4</v>
      </c>
      <c r="AA36">
        <v>12</v>
      </c>
      <c r="AB36">
        <v>15</v>
      </c>
      <c r="AC36">
        <v>2</v>
      </c>
      <c r="AD36">
        <v>7</v>
      </c>
      <c r="AE36">
        <v>27</v>
      </c>
      <c r="AF36" t="s">
        <v>148</v>
      </c>
      <c r="AG36" t="s">
        <v>186</v>
      </c>
      <c r="AH36" t="s">
        <v>187</v>
      </c>
      <c r="AI36" t="s">
        <v>187</v>
      </c>
      <c r="AJ36">
        <v>10</v>
      </c>
      <c r="AK36">
        <v>0</v>
      </c>
      <c r="AL36" t="s">
        <v>222</v>
      </c>
      <c r="AM36">
        <v>160</v>
      </c>
      <c r="AN36">
        <v>2</v>
      </c>
      <c r="AO36">
        <v>25</v>
      </c>
      <c r="AP36">
        <v>100</v>
      </c>
      <c r="AQ36">
        <v>2500</v>
      </c>
      <c r="AR36">
        <v>200</v>
      </c>
      <c r="AS36">
        <v>700</v>
      </c>
      <c r="AT36">
        <f t="shared" si="0"/>
        <v>2500</v>
      </c>
      <c r="AU36">
        <v>14</v>
      </c>
      <c r="AV36">
        <f t="shared" si="1"/>
        <v>50</v>
      </c>
      <c r="AW36">
        <f t="shared" si="2"/>
        <v>175</v>
      </c>
      <c r="AX36">
        <f t="shared" si="3"/>
        <v>1120</v>
      </c>
      <c r="AY36">
        <v>1400</v>
      </c>
    </row>
    <row r="37" spans="1:51" x14ac:dyDescent="0.25">
      <c r="A37" t="s">
        <v>85</v>
      </c>
      <c r="B37" t="s">
        <v>104</v>
      </c>
      <c r="C37" s="1">
        <v>45921</v>
      </c>
      <c r="D37" t="s">
        <v>121</v>
      </c>
      <c r="E37" t="s">
        <v>120</v>
      </c>
      <c r="F37">
        <v>1</v>
      </c>
      <c r="G37">
        <v>0</v>
      </c>
      <c r="H37" t="s">
        <v>123</v>
      </c>
      <c r="I37">
        <v>1</v>
      </c>
      <c r="J37">
        <v>0</v>
      </c>
      <c r="K37" t="s">
        <v>123</v>
      </c>
      <c r="L37">
        <v>1.44</v>
      </c>
      <c r="M37">
        <v>4.4000000000000004</v>
      </c>
      <c r="N37">
        <v>5.5</v>
      </c>
      <c r="O37" t="s">
        <v>134</v>
      </c>
      <c r="P37" t="s">
        <v>134</v>
      </c>
      <c r="Q37">
        <v>12</v>
      </c>
      <c r="R37">
        <v>4</v>
      </c>
      <c r="S37">
        <v>10</v>
      </c>
      <c r="T37">
        <v>1</v>
      </c>
      <c r="U37">
        <v>1</v>
      </c>
      <c r="V37">
        <v>0</v>
      </c>
      <c r="W37">
        <v>0</v>
      </c>
      <c r="X37">
        <v>0</v>
      </c>
      <c r="Y37">
        <v>9</v>
      </c>
      <c r="Z37">
        <v>3</v>
      </c>
      <c r="AA37">
        <v>10</v>
      </c>
      <c r="AB37">
        <v>9</v>
      </c>
      <c r="AC37">
        <v>1</v>
      </c>
      <c r="AD37">
        <v>12</v>
      </c>
      <c r="AE37">
        <v>19</v>
      </c>
      <c r="AF37" t="s">
        <v>176</v>
      </c>
      <c r="AG37" t="s">
        <v>187</v>
      </c>
      <c r="AH37" t="s">
        <v>187</v>
      </c>
      <c r="AI37" t="s">
        <v>187</v>
      </c>
      <c r="AJ37">
        <v>1</v>
      </c>
      <c r="AK37">
        <v>0</v>
      </c>
      <c r="AL37" t="s">
        <v>223</v>
      </c>
      <c r="AM37">
        <v>20</v>
      </c>
      <c r="AN37">
        <v>1</v>
      </c>
      <c r="AO37">
        <v>27</v>
      </c>
      <c r="AP37">
        <v>10</v>
      </c>
      <c r="AQ37">
        <v>0</v>
      </c>
      <c r="AR37">
        <v>10</v>
      </c>
      <c r="AS37">
        <v>120</v>
      </c>
      <c r="AT37">
        <f t="shared" si="0"/>
        <v>270</v>
      </c>
      <c r="AU37">
        <v>12</v>
      </c>
      <c r="AV37">
        <f t="shared" si="1"/>
        <v>27</v>
      </c>
      <c r="AW37">
        <f t="shared" si="2"/>
        <v>324</v>
      </c>
      <c r="AX37">
        <f t="shared" si="3"/>
        <v>240</v>
      </c>
      <c r="AY37">
        <v>120</v>
      </c>
    </row>
    <row r="38" spans="1:51" x14ac:dyDescent="0.25">
      <c r="A38" t="s">
        <v>86</v>
      </c>
      <c r="B38" t="s">
        <v>104</v>
      </c>
      <c r="C38" s="1">
        <v>45926</v>
      </c>
      <c r="D38" t="s">
        <v>105</v>
      </c>
      <c r="E38" t="s">
        <v>118</v>
      </c>
      <c r="F38">
        <v>4</v>
      </c>
      <c r="G38">
        <v>0</v>
      </c>
      <c r="H38" t="s">
        <v>123</v>
      </c>
      <c r="I38">
        <v>2</v>
      </c>
      <c r="J38">
        <v>0</v>
      </c>
      <c r="K38" t="s">
        <v>123</v>
      </c>
      <c r="L38">
        <v>1.07</v>
      </c>
      <c r="M38">
        <v>11.5</v>
      </c>
      <c r="N38">
        <v>22</v>
      </c>
      <c r="O38" t="s">
        <v>127</v>
      </c>
      <c r="P38" t="s">
        <v>135</v>
      </c>
      <c r="Q38">
        <v>26</v>
      </c>
      <c r="R38">
        <v>13</v>
      </c>
      <c r="S38">
        <v>9</v>
      </c>
      <c r="T38">
        <v>3</v>
      </c>
      <c r="U38">
        <v>2</v>
      </c>
      <c r="V38">
        <v>0</v>
      </c>
      <c r="W38">
        <v>0</v>
      </c>
      <c r="X38">
        <v>0</v>
      </c>
      <c r="Y38">
        <v>7</v>
      </c>
      <c r="Z38">
        <v>6</v>
      </c>
      <c r="AA38">
        <v>9</v>
      </c>
      <c r="AB38">
        <v>4</v>
      </c>
      <c r="AC38">
        <v>4</v>
      </c>
      <c r="AD38">
        <v>13</v>
      </c>
      <c r="AE38">
        <v>13</v>
      </c>
      <c r="AF38" t="s">
        <v>157</v>
      </c>
      <c r="AG38" t="s">
        <v>186</v>
      </c>
      <c r="AH38" t="s">
        <v>186</v>
      </c>
      <c r="AI38" t="s">
        <v>186</v>
      </c>
      <c r="AJ38">
        <v>2</v>
      </c>
      <c r="AK38">
        <v>0</v>
      </c>
      <c r="AL38" t="s">
        <v>224</v>
      </c>
      <c r="AM38">
        <v>219</v>
      </c>
      <c r="AN38">
        <v>4</v>
      </c>
      <c r="AO38">
        <v>49</v>
      </c>
      <c r="AP38">
        <v>20</v>
      </c>
      <c r="AQ38">
        <v>0</v>
      </c>
      <c r="AR38">
        <v>80</v>
      </c>
      <c r="AS38">
        <v>260</v>
      </c>
      <c r="AT38">
        <f t="shared" si="0"/>
        <v>980</v>
      </c>
      <c r="AU38">
        <v>52</v>
      </c>
      <c r="AV38">
        <f t="shared" si="1"/>
        <v>196</v>
      </c>
      <c r="AW38">
        <f t="shared" si="2"/>
        <v>637</v>
      </c>
      <c r="AX38">
        <f t="shared" si="3"/>
        <v>2847</v>
      </c>
      <c r="AY38">
        <v>1040</v>
      </c>
    </row>
    <row r="39" spans="1:51" x14ac:dyDescent="0.25">
      <c r="A39" t="s">
        <v>87</v>
      </c>
      <c r="B39" t="s">
        <v>104</v>
      </c>
      <c r="C39" s="1">
        <v>45927</v>
      </c>
      <c r="D39" t="s">
        <v>108</v>
      </c>
      <c r="E39" t="s">
        <v>119</v>
      </c>
      <c r="F39">
        <v>2</v>
      </c>
      <c r="G39">
        <v>1</v>
      </c>
      <c r="H39" t="s">
        <v>123</v>
      </c>
      <c r="I39">
        <v>0</v>
      </c>
      <c r="J39">
        <v>0</v>
      </c>
      <c r="K39" t="s">
        <v>125</v>
      </c>
      <c r="L39">
        <v>2.6</v>
      </c>
      <c r="M39">
        <v>3.4</v>
      </c>
      <c r="N39">
        <v>2.38</v>
      </c>
      <c r="O39" t="s">
        <v>131</v>
      </c>
      <c r="P39" t="s">
        <v>141</v>
      </c>
      <c r="Q39">
        <v>11</v>
      </c>
      <c r="R39">
        <v>5</v>
      </c>
      <c r="S39">
        <v>8</v>
      </c>
      <c r="T39">
        <v>2</v>
      </c>
      <c r="U39">
        <v>1</v>
      </c>
      <c r="V39">
        <v>6</v>
      </c>
      <c r="W39">
        <v>0</v>
      </c>
      <c r="X39">
        <v>0</v>
      </c>
      <c r="Y39">
        <v>3</v>
      </c>
      <c r="Z39">
        <v>2</v>
      </c>
      <c r="AA39">
        <v>16</v>
      </c>
      <c r="AB39">
        <v>20</v>
      </c>
      <c r="AC39">
        <v>3</v>
      </c>
      <c r="AD39">
        <v>5</v>
      </c>
      <c r="AE39">
        <v>36</v>
      </c>
      <c r="AF39" t="s">
        <v>177</v>
      </c>
      <c r="AG39" t="s">
        <v>186</v>
      </c>
      <c r="AH39" t="s">
        <v>186</v>
      </c>
      <c r="AI39" t="s">
        <v>187</v>
      </c>
      <c r="AJ39">
        <v>7</v>
      </c>
      <c r="AK39">
        <v>0</v>
      </c>
      <c r="AL39" t="s">
        <v>225</v>
      </c>
      <c r="AM39">
        <v>191</v>
      </c>
      <c r="AN39">
        <v>3</v>
      </c>
      <c r="AO39">
        <v>81</v>
      </c>
      <c r="AP39">
        <v>70</v>
      </c>
      <c r="AQ39">
        <v>600</v>
      </c>
      <c r="AR39">
        <v>210</v>
      </c>
      <c r="AS39">
        <v>350</v>
      </c>
      <c r="AT39">
        <f t="shared" si="0"/>
        <v>5670</v>
      </c>
      <c r="AU39">
        <v>15</v>
      </c>
      <c r="AV39">
        <f t="shared" si="1"/>
        <v>243</v>
      </c>
      <c r="AW39">
        <f t="shared" si="2"/>
        <v>405</v>
      </c>
      <c r="AX39">
        <f t="shared" si="3"/>
        <v>955</v>
      </c>
      <c r="AY39">
        <v>1050</v>
      </c>
    </row>
    <row r="40" spans="1:51" x14ac:dyDescent="0.25">
      <c r="A40" t="s">
        <v>88</v>
      </c>
      <c r="B40" t="s">
        <v>104</v>
      </c>
      <c r="C40" s="1">
        <v>45927</v>
      </c>
      <c r="D40" t="s">
        <v>112</v>
      </c>
      <c r="E40" t="s">
        <v>121</v>
      </c>
      <c r="F40">
        <v>0</v>
      </c>
      <c r="G40">
        <v>2</v>
      </c>
      <c r="H40" t="s">
        <v>124</v>
      </c>
      <c r="I40">
        <v>0</v>
      </c>
      <c r="J40">
        <v>2</v>
      </c>
      <c r="K40" t="s">
        <v>124</v>
      </c>
      <c r="L40">
        <v>3</v>
      </c>
      <c r="M40">
        <v>3.6</v>
      </c>
      <c r="N40">
        <v>2.0499999999999998</v>
      </c>
      <c r="O40" t="s">
        <v>132</v>
      </c>
      <c r="P40" t="s">
        <v>132</v>
      </c>
      <c r="Q40">
        <v>8</v>
      </c>
      <c r="R40">
        <v>2</v>
      </c>
      <c r="S40">
        <v>10</v>
      </c>
      <c r="T40">
        <v>4</v>
      </c>
      <c r="U40">
        <v>2</v>
      </c>
      <c r="V40">
        <v>1</v>
      </c>
      <c r="W40">
        <v>1</v>
      </c>
      <c r="X40">
        <v>0</v>
      </c>
      <c r="Y40">
        <v>7</v>
      </c>
      <c r="Z40">
        <v>5</v>
      </c>
      <c r="AA40">
        <v>12</v>
      </c>
      <c r="AB40">
        <v>14</v>
      </c>
      <c r="AC40">
        <v>2</v>
      </c>
      <c r="AD40">
        <v>12</v>
      </c>
      <c r="AE40">
        <v>26</v>
      </c>
      <c r="AF40" t="s">
        <v>162</v>
      </c>
      <c r="AG40" t="s">
        <v>186</v>
      </c>
      <c r="AH40" t="s">
        <v>187</v>
      </c>
      <c r="AI40" t="s">
        <v>187</v>
      </c>
      <c r="AJ40">
        <v>3</v>
      </c>
      <c r="AK40">
        <v>1</v>
      </c>
      <c r="AL40" t="s">
        <v>226</v>
      </c>
      <c r="AM40">
        <v>67</v>
      </c>
      <c r="AN40">
        <v>2</v>
      </c>
      <c r="AO40">
        <v>51</v>
      </c>
      <c r="AP40">
        <v>55</v>
      </c>
      <c r="AQ40">
        <v>450</v>
      </c>
      <c r="AR40">
        <v>110</v>
      </c>
      <c r="AS40">
        <v>660</v>
      </c>
      <c r="AT40">
        <f t="shared" si="0"/>
        <v>2805</v>
      </c>
      <c r="AU40">
        <v>24</v>
      </c>
      <c r="AV40">
        <f t="shared" si="1"/>
        <v>102</v>
      </c>
      <c r="AW40">
        <f t="shared" si="2"/>
        <v>612</v>
      </c>
      <c r="AX40">
        <f t="shared" si="3"/>
        <v>804</v>
      </c>
      <c r="AY40">
        <v>1320</v>
      </c>
    </row>
    <row r="41" spans="1:51" x14ac:dyDescent="0.25">
      <c r="A41" t="s">
        <v>89</v>
      </c>
      <c r="B41" t="s">
        <v>104</v>
      </c>
      <c r="C41" s="1">
        <v>45927</v>
      </c>
      <c r="D41" t="s">
        <v>111</v>
      </c>
      <c r="E41" t="s">
        <v>109</v>
      </c>
      <c r="F41">
        <v>1</v>
      </c>
      <c r="G41">
        <v>2</v>
      </c>
      <c r="H41" t="s">
        <v>124</v>
      </c>
      <c r="I41">
        <v>1</v>
      </c>
      <c r="J41">
        <v>1</v>
      </c>
      <c r="K41" t="s">
        <v>125</v>
      </c>
      <c r="L41">
        <v>3.1</v>
      </c>
      <c r="M41">
        <v>3.3</v>
      </c>
      <c r="N41">
        <v>2.1</v>
      </c>
      <c r="O41" t="s">
        <v>129</v>
      </c>
      <c r="P41" t="s">
        <v>133</v>
      </c>
      <c r="Q41">
        <v>13</v>
      </c>
      <c r="R41">
        <v>6</v>
      </c>
      <c r="S41">
        <v>5</v>
      </c>
      <c r="T41">
        <v>4</v>
      </c>
      <c r="U41">
        <v>3</v>
      </c>
      <c r="V41">
        <v>5</v>
      </c>
      <c r="W41">
        <v>0</v>
      </c>
      <c r="X41">
        <v>0</v>
      </c>
      <c r="Y41">
        <v>13</v>
      </c>
      <c r="Z41">
        <v>1</v>
      </c>
      <c r="AA41">
        <v>13</v>
      </c>
      <c r="AB41">
        <v>11</v>
      </c>
      <c r="AC41">
        <v>3</v>
      </c>
      <c r="AD41">
        <v>14</v>
      </c>
      <c r="AE41">
        <v>24</v>
      </c>
      <c r="AF41" t="s">
        <v>178</v>
      </c>
      <c r="AG41" t="s">
        <v>186</v>
      </c>
      <c r="AH41" t="s">
        <v>186</v>
      </c>
      <c r="AI41" t="s">
        <v>187</v>
      </c>
      <c r="AJ41">
        <v>8</v>
      </c>
      <c r="AK41">
        <v>0</v>
      </c>
      <c r="AL41" t="s">
        <v>227</v>
      </c>
      <c r="AM41">
        <v>115</v>
      </c>
      <c r="AN41">
        <v>3</v>
      </c>
      <c r="AO41">
        <v>36</v>
      </c>
      <c r="AP41">
        <v>80</v>
      </c>
      <c r="AQ41">
        <v>1500</v>
      </c>
      <c r="AR41">
        <v>240</v>
      </c>
      <c r="AS41">
        <v>1120</v>
      </c>
      <c r="AT41">
        <f t="shared" si="0"/>
        <v>2880</v>
      </c>
      <c r="AU41">
        <v>42</v>
      </c>
      <c r="AV41">
        <f t="shared" si="1"/>
        <v>108</v>
      </c>
      <c r="AW41">
        <f t="shared" si="2"/>
        <v>504</v>
      </c>
      <c r="AX41">
        <f t="shared" si="3"/>
        <v>1610</v>
      </c>
      <c r="AY41">
        <v>3360</v>
      </c>
    </row>
    <row r="42" spans="1:51" x14ac:dyDescent="0.25">
      <c r="A42" t="s">
        <v>90</v>
      </c>
      <c r="B42" t="s">
        <v>104</v>
      </c>
      <c r="C42" s="1">
        <v>45927</v>
      </c>
      <c r="D42" t="s">
        <v>120</v>
      </c>
      <c r="E42" t="s">
        <v>116</v>
      </c>
      <c r="F42">
        <v>0</v>
      </c>
      <c r="G42">
        <v>1</v>
      </c>
      <c r="H42" t="s">
        <v>124</v>
      </c>
      <c r="I42">
        <v>0</v>
      </c>
      <c r="J42">
        <v>1</v>
      </c>
      <c r="K42" t="s">
        <v>124</v>
      </c>
      <c r="L42">
        <v>2.4500000000000002</v>
      </c>
      <c r="M42">
        <v>3.6</v>
      </c>
      <c r="N42">
        <v>2.4</v>
      </c>
      <c r="O42" t="s">
        <v>130</v>
      </c>
      <c r="P42" t="s">
        <v>130</v>
      </c>
      <c r="Q42">
        <v>22</v>
      </c>
      <c r="R42">
        <v>4</v>
      </c>
      <c r="S42">
        <v>20</v>
      </c>
      <c r="T42">
        <v>6</v>
      </c>
      <c r="U42">
        <v>2</v>
      </c>
      <c r="V42">
        <v>2</v>
      </c>
      <c r="W42">
        <v>0</v>
      </c>
      <c r="X42">
        <v>0</v>
      </c>
      <c r="Y42">
        <v>6</v>
      </c>
      <c r="Z42">
        <v>11</v>
      </c>
      <c r="AA42">
        <v>7</v>
      </c>
      <c r="AB42">
        <v>9</v>
      </c>
      <c r="AC42">
        <v>1</v>
      </c>
      <c r="AD42">
        <v>17</v>
      </c>
      <c r="AE42">
        <v>16</v>
      </c>
      <c r="AF42" t="s">
        <v>179</v>
      </c>
      <c r="AG42" t="s">
        <v>187</v>
      </c>
      <c r="AH42" t="s">
        <v>187</v>
      </c>
      <c r="AI42" t="s">
        <v>187</v>
      </c>
      <c r="AJ42">
        <v>4</v>
      </c>
      <c r="AK42">
        <v>0</v>
      </c>
      <c r="AL42" t="s">
        <v>228</v>
      </c>
      <c r="AM42">
        <v>8</v>
      </c>
      <c r="AN42">
        <v>1</v>
      </c>
      <c r="AO42">
        <v>9</v>
      </c>
      <c r="AP42">
        <v>40</v>
      </c>
      <c r="AQ42">
        <v>400</v>
      </c>
      <c r="AR42">
        <v>40</v>
      </c>
      <c r="AS42">
        <v>680</v>
      </c>
      <c r="AT42">
        <f t="shared" si="0"/>
        <v>360</v>
      </c>
      <c r="AU42">
        <v>17</v>
      </c>
      <c r="AV42">
        <f t="shared" si="1"/>
        <v>9</v>
      </c>
      <c r="AW42">
        <f t="shared" si="2"/>
        <v>153</v>
      </c>
      <c r="AX42">
        <f t="shared" si="3"/>
        <v>136</v>
      </c>
      <c r="AY42">
        <v>680</v>
      </c>
    </row>
    <row r="43" spans="1:51" x14ac:dyDescent="0.25">
      <c r="A43" t="s">
        <v>91</v>
      </c>
      <c r="B43" t="s">
        <v>104</v>
      </c>
      <c r="C43" s="1">
        <v>45927</v>
      </c>
      <c r="D43" t="s">
        <v>113</v>
      </c>
      <c r="E43" t="s">
        <v>106</v>
      </c>
      <c r="F43">
        <v>4</v>
      </c>
      <c r="G43">
        <v>6</v>
      </c>
      <c r="H43" t="s">
        <v>124</v>
      </c>
      <c r="I43">
        <v>0</v>
      </c>
      <c r="J43">
        <v>5</v>
      </c>
      <c r="K43" t="s">
        <v>124</v>
      </c>
      <c r="L43">
        <v>2.8</v>
      </c>
      <c r="M43">
        <v>3.7</v>
      </c>
      <c r="N43">
        <v>2.1</v>
      </c>
      <c r="O43" t="s">
        <v>137</v>
      </c>
      <c r="P43" t="s">
        <v>149</v>
      </c>
      <c r="Q43">
        <v>11</v>
      </c>
      <c r="R43">
        <v>8</v>
      </c>
      <c r="S43">
        <v>21</v>
      </c>
      <c r="T43">
        <v>7</v>
      </c>
      <c r="U43">
        <v>1</v>
      </c>
      <c r="V43">
        <v>2</v>
      </c>
      <c r="W43">
        <v>0</v>
      </c>
      <c r="X43">
        <v>0</v>
      </c>
      <c r="Y43">
        <v>4</v>
      </c>
      <c r="Z43">
        <v>6</v>
      </c>
      <c r="AA43">
        <v>14</v>
      </c>
      <c r="AB43">
        <v>8</v>
      </c>
      <c r="AC43">
        <v>10</v>
      </c>
      <c r="AD43">
        <v>10</v>
      </c>
      <c r="AE43">
        <v>22</v>
      </c>
      <c r="AF43" t="s">
        <v>149</v>
      </c>
      <c r="AG43" t="s">
        <v>186</v>
      </c>
      <c r="AH43" t="s">
        <v>186</v>
      </c>
      <c r="AI43" t="s">
        <v>186</v>
      </c>
      <c r="AJ43">
        <v>3</v>
      </c>
      <c r="AK43">
        <v>0</v>
      </c>
      <c r="AL43" t="s">
        <v>229</v>
      </c>
      <c r="AM43">
        <v>515</v>
      </c>
      <c r="AN43">
        <v>10</v>
      </c>
      <c r="AO43">
        <v>140</v>
      </c>
      <c r="AP43">
        <v>30</v>
      </c>
      <c r="AQ43">
        <v>200</v>
      </c>
      <c r="AR43">
        <v>300</v>
      </c>
      <c r="AS43">
        <v>300</v>
      </c>
      <c r="AT43">
        <f t="shared" si="0"/>
        <v>4200</v>
      </c>
      <c r="AU43">
        <v>100</v>
      </c>
      <c r="AV43">
        <f t="shared" si="1"/>
        <v>1400</v>
      </c>
      <c r="AW43">
        <f t="shared" si="2"/>
        <v>1400</v>
      </c>
      <c r="AX43">
        <f t="shared" si="3"/>
        <v>5150</v>
      </c>
      <c r="AY43">
        <v>3000</v>
      </c>
    </row>
    <row r="44" spans="1:51" x14ac:dyDescent="0.25">
      <c r="A44" t="s">
        <v>92</v>
      </c>
      <c r="B44" t="s">
        <v>104</v>
      </c>
      <c r="C44" s="1">
        <v>45928</v>
      </c>
      <c r="D44" t="s">
        <v>107</v>
      </c>
      <c r="E44" t="s">
        <v>115</v>
      </c>
      <c r="F44">
        <v>1</v>
      </c>
      <c r="G44">
        <v>1</v>
      </c>
      <c r="H44" t="s">
        <v>125</v>
      </c>
      <c r="I44">
        <v>1</v>
      </c>
      <c r="J44">
        <v>1</v>
      </c>
      <c r="K44" t="s">
        <v>125</v>
      </c>
      <c r="L44">
        <v>2.15</v>
      </c>
      <c r="M44">
        <v>3.5</v>
      </c>
      <c r="N44">
        <v>2.88</v>
      </c>
      <c r="O44" t="s">
        <v>129</v>
      </c>
      <c r="P44" t="s">
        <v>129</v>
      </c>
      <c r="Q44">
        <v>6</v>
      </c>
      <c r="R44">
        <v>1</v>
      </c>
      <c r="S44">
        <v>15</v>
      </c>
      <c r="T44">
        <v>4</v>
      </c>
      <c r="U44">
        <v>3</v>
      </c>
      <c r="V44">
        <v>1</v>
      </c>
      <c r="W44">
        <v>0</v>
      </c>
      <c r="X44">
        <v>0</v>
      </c>
      <c r="Y44">
        <v>6</v>
      </c>
      <c r="Z44">
        <v>8</v>
      </c>
      <c r="AA44">
        <v>9</v>
      </c>
      <c r="AB44">
        <v>15</v>
      </c>
      <c r="AC44">
        <v>2</v>
      </c>
      <c r="AD44">
        <v>14</v>
      </c>
      <c r="AE44">
        <v>24</v>
      </c>
      <c r="AF44" t="s">
        <v>180</v>
      </c>
      <c r="AG44" t="s">
        <v>186</v>
      </c>
      <c r="AH44" t="s">
        <v>187</v>
      </c>
      <c r="AI44" t="s">
        <v>187</v>
      </c>
      <c r="AJ44">
        <v>4</v>
      </c>
      <c r="AK44">
        <v>0</v>
      </c>
      <c r="AL44" t="s">
        <v>230</v>
      </c>
      <c r="AM44">
        <v>16</v>
      </c>
      <c r="AN44">
        <v>2</v>
      </c>
      <c r="AO44">
        <v>28</v>
      </c>
      <c r="AP44">
        <v>40</v>
      </c>
      <c r="AQ44">
        <v>300</v>
      </c>
      <c r="AR44">
        <v>80</v>
      </c>
      <c r="AS44">
        <v>560</v>
      </c>
      <c r="AT44">
        <f t="shared" si="0"/>
        <v>1120</v>
      </c>
      <c r="AU44">
        <v>28</v>
      </c>
      <c r="AV44">
        <f t="shared" si="1"/>
        <v>56</v>
      </c>
      <c r="AW44">
        <f t="shared" si="2"/>
        <v>392</v>
      </c>
      <c r="AX44">
        <f t="shared" si="3"/>
        <v>224</v>
      </c>
      <c r="AY44">
        <v>1120</v>
      </c>
    </row>
    <row r="45" spans="1:51" x14ac:dyDescent="0.25">
      <c r="A45" t="s">
        <v>93</v>
      </c>
      <c r="B45" t="s">
        <v>104</v>
      </c>
      <c r="C45" s="1">
        <v>45928</v>
      </c>
      <c r="D45" t="s">
        <v>122</v>
      </c>
      <c r="E45" t="s">
        <v>117</v>
      </c>
      <c r="F45">
        <v>1</v>
      </c>
      <c r="G45">
        <v>2</v>
      </c>
      <c r="H45" t="s">
        <v>124</v>
      </c>
      <c r="I45">
        <v>1</v>
      </c>
      <c r="J45">
        <v>1</v>
      </c>
      <c r="K45" t="s">
        <v>125</v>
      </c>
      <c r="L45">
        <v>2.7</v>
      </c>
      <c r="M45">
        <v>3.6</v>
      </c>
      <c r="N45">
        <v>2.2000000000000002</v>
      </c>
      <c r="O45" t="s">
        <v>129</v>
      </c>
      <c r="P45" t="s">
        <v>133</v>
      </c>
      <c r="Q45">
        <v>14</v>
      </c>
      <c r="R45">
        <v>6</v>
      </c>
      <c r="S45">
        <v>15</v>
      </c>
      <c r="T45">
        <v>5</v>
      </c>
      <c r="U45">
        <v>2</v>
      </c>
      <c r="V45">
        <v>2</v>
      </c>
      <c r="W45">
        <v>0</v>
      </c>
      <c r="X45">
        <v>0</v>
      </c>
      <c r="Y45">
        <v>8</v>
      </c>
      <c r="Z45">
        <v>8</v>
      </c>
      <c r="AA45">
        <v>12</v>
      </c>
      <c r="AB45">
        <v>12</v>
      </c>
      <c r="AC45">
        <v>3</v>
      </c>
      <c r="AD45">
        <v>16</v>
      </c>
      <c r="AE45">
        <v>24</v>
      </c>
      <c r="AF45" t="s">
        <v>181</v>
      </c>
      <c r="AG45" t="s">
        <v>186</v>
      </c>
      <c r="AH45" t="s">
        <v>186</v>
      </c>
      <c r="AI45" t="s">
        <v>187</v>
      </c>
      <c r="AJ45">
        <v>4</v>
      </c>
      <c r="AK45">
        <v>0</v>
      </c>
      <c r="AL45" t="s">
        <v>231</v>
      </c>
      <c r="AM45">
        <v>113</v>
      </c>
      <c r="AN45">
        <v>3</v>
      </c>
      <c r="AO45">
        <v>29</v>
      </c>
      <c r="AP45">
        <v>40</v>
      </c>
      <c r="AQ45">
        <v>400</v>
      </c>
      <c r="AR45">
        <v>120</v>
      </c>
      <c r="AS45">
        <v>640</v>
      </c>
      <c r="AT45">
        <f t="shared" si="0"/>
        <v>1160</v>
      </c>
      <c r="AU45">
        <v>48</v>
      </c>
      <c r="AV45">
        <f t="shared" si="1"/>
        <v>87</v>
      </c>
      <c r="AW45">
        <f t="shared" si="2"/>
        <v>464</v>
      </c>
      <c r="AX45">
        <f t="shared" si="3"/>
        <v>1808</v>
      </c>
      <c r="AY45">
        <v>1920</v>
      </c>
    </row>
    <row r="46" spans="1:51" x14ac:dyDescent="0.25">
      <c r="A46" t="s">
        <v>94</v>
      </c>
      <c r="B46" t="s">
        <v>104</v>
      </c>
      <c r="C46" s="1">
        <v>45928</v>
      </c>
      <c r="D46" t="s">
        <v>110</v>
      </c>
      <c r="E46" t="s">
        <v>114</v>
      </c>
      <c r="F46">
        <v>0</v>
      </c>
      <c r="G46">
        <v>0</v>
      </c>
      <c r="H46" t="s">
        <v>125</v>
      </c>
      <c r="I46">
        <v>0</v>
      </c>
      <c r="J46">
        <v>0</v>
      </c>
      <c r="K46" t="s">
        <v>125</v>
      </c>
      <c r="L46">
        <v>1.91</v>
      </c>
      <c r="M46">
        <v>3.4</v>
      </c>
      <c r="N46">
        <v>3.5</v>
      </c>
      <c r="O46" t="s">
        <v>131</v>
      </c>
      <c r="P46" t="s">
        <v>131</v>
      </c>
      <c r="Q46">
        <v>11</v>
      </c>
      <c r="R46">
        <v>2</v>
      </c>
      <c r="S46">
        <v>16</v>
      </c>
      <c r="T46">
        <v>6</v>
      </c>
      <c r="U46">
        <v>2</v>
      </c>
      <c r="V46">
        <v>2</v>
      </c>
      <c r="W46">
        <v>0</v>
      </c>
      <c r="X46">
        <v>1</v>
      </c>
      <c r="Y46">
        <v>5</v>
      </c>
      <c r="Z46">
        <v>3</v>
      </c>
      <c r="AA46">
        <v>18</v>
      </c>
      <c r="AB46">
        <v>17</v>
      </c>
      <c r="AC46">
        <v>0</v>
      </c>
      <c r="AD46">
        <v>8</v>
      </c>
      <c r="AE46">
        <v>35</v>
      </c>
      <c r="AF46" t="s">
        <v>169</v>
      </c>
      <c r="AG46" t="s">
        <v>187</v>
      </c>
      <c r="AH46" t="s">
        <v>187</v>
      </c>
      <c r="AI46" t="s">
        <v>187</v>
      </c>
      <c r="AJ46">
        <v>4</v>
      </c>
      <c r="AK46">
        <v>1</v>
      </c>
      <c r="AL46" t="s">
        <v>232</v>
      </c>
      <c r="AM46">
        <v>0</v>
      </c>
      <c r="AN46">
        <v>0</v>
      </c>
      <c r="AO46">
        <v>0</v>
      </c>
      <c r="AP46">
        <v>65</v>
      </c>
      <c r="AQ46">
        <v>900</v>
      </c>
      <c r="AR46">
        <v>0</v>
      </c>
      <c r="AS46">
        <v>520</v>
      </c>
      <c r="AT46">
        <f t="shared" si="0"/>
        <v>0</v>
      </c>
      <c r="AU46">
        <v>0</v>
      </c>
      <c r="AV46">
        <f t="shared" si="1"/>
        <v>0</v>
      </c>
      <c r="AW46">
        <f t="shared" si="2"/>
        <v>0</v>
      </c>
      <c r="AX46">
        <f t="shared" si="3"/>
        <v>0</v>
      </c>
      <c r="AY46">
        <v>0</v>
      </c>
    </row>
    <row r="47" spans="1:51" x14ac:dyDescent="0.25">
      <c r="A47" t="s">
        <v>95</v>
      </c>
      <c r="B47" t="s">
        <v>104</v>
      </c>
      <c r="C47" s="1">
        <v>45933</v>
      </c>
      <c r="D47" t="s">
        <v>115</v>
      </c>
      <c r="E47" t="s">
        <v>122</v>
      </c>
      <c r="F47">
        <v>0</v>
      </c>
      <c r="G47">
        <v>1</v>
      </c>
      <c r="H47" t="s">
        <v>124</v>
      </c>
      <c r="I47">
        <v>0</v>
      </c>
      <c r="J47">
        <v>1</v>
      </c>
      <c r="K47" t="s">
        <v>124</v>
      </c>
      <c r="L47">
        <v>1.93</v>
      </c>
      <c r="M47">
        <v>3.8</v>
      </c>
      <c r="N47">
        <v>3.5</v>
      </c>
      <c r="O47" t="s">
        <v>130</v>
      </c>
      <c r="P47" t="s">
        <v>130</v>
      </c>
      <c r="Q47">
        <v>15</v>
      </c>
      <c r="R47">
        <v>4</v>
      </c>
      <c r="S47">
        <v>10</v>
      </c>
      <c r="T47">
        <v>4</v>
      </c>
      <c r="U47">
        <v>3</v>
      </c>
      <c r="V47">
        <v>1</v>
      </c>
      <c r="W47">
        <v>0</v>
      </c>
      <c r="X47">
        <v>0</v>
      </c>
      <c r="Y47">
        <v>11</v>
      </c>
      <c r="Z47">
        <v>6</v>
      </c>
      <c r="AA47">
        <v>15</v>
      </c>
      <c r="AB47">
        <v>6</v>
      </c>
      <c r="AC47">
        <v>1</v>
      </c>
      <c r="AD47">
        <v>17</v>
      </c>
      <c r="AE47">
        <v>21</v>
      </c>
      <c r="AF47" t="s">
        <v>182</v>
      </c>
      <c r="AG47" t="s">
        <v>187</v>
      </c>
      <c r="AH47" t="s">
        <v>187</v>
      </c>
      <c r="AI47" t="s">
        <v>187</v>
      </c>
      <c r="AJ47">
        <v>4</v>
      </c>
      <c r="AK47">
        <v>0</v>
      </c>
      <c r="AL47" t="s">
        <v>233</v>
      </c>
      <c r="AM47">
        <v>16</v>
      </c>
      <c r="AN47">
        <v>1</v>
      </c>
      <c r="AO47">
        <v>13</v>
      </c>
      <c r="AP47">
        <v>40</v>
      </c>
      <c r="AQ47">
        <v>300</v>
      </c>
      <c r="AR47">
        <v>40</v>
      </c>
      <c r="AS47">
        <v>680</v>
      </c>
      <c r="AT47">
        <f t="shared" si="0"/>
        <v>520</v>
      </c>
      <c r="AU47">
        <v>17</v>
      </c>
      <c r="AV47">
        <f t="shared" si="1"/>
        <v>13</v>
      </c>
      <c r="AW47">
        <f t="shared" si="2"/>
        <v>221</v>
      </c>
      <c r="AX47">
        <f t="shared" si="3"/>
        <v>272</v>
      </c>
      <c r="AY47">
        <v>680</v>
      </c>
    </row>
    <row r="48" spans="1:51" x14ac:dyDescent="0.25">
      <c r="A48" t="s">
        <v>96</v>
      </c>
      <c r="B48" t="s">
        <v>104</v>
      </c>
      <c r="C48" s="1">
        <v>45934</v>
      </c>
      <c r="D48" t="s">
        <v>119</v>
      </c>
      <c r="E48" t="s">
        <v>120</v>
      </c>
      <c r="F48">
        <v>3</v>
      </c>
      <c r="G48">
        <v>1</v>
      </c>
      <c r="H48" t="s">
        <v>123</v>
      </c>
      <c r="I48">
        <v>1</v>
      </c>
      <c r="J48">
        <v>0</v>
      </c>
      <c r="K48" t="s">
        <v>123</v>
      </c>
      <c r="L48">
        <v>2.6</v>
      </c>
      <c r="M48">
        <v>3.4</v>
      </c>
      <c r="N48">
        <v>2.38</v>
      </c>
      <c r="O48" t="s">
        <v>134</v>
      </c>
      <c r="P48" t="s">
        <v>136</v>
      </c>
      <c r="Q48">
        <v>10</v>
      </c>
      <c r="R48">
        <v>5</v>
      </c>
      <c r="S48">
        <v>14</v>
      </c>
      <c r="T48">
        <v>4</v>
      </c>
      <c r="U48">
        <v>2</v>
      </c>
      <c r="V48">
        <v>1</v>
      </c>
      <c r="W48">
        <v>0</v>
      </c>
      <c r="X48">
        <v>0</v>
      </c>
      <c r="Y48">
        <v>10</v>
      </c>
      <c r="Z48">
        <v>5</v>
      </c>
      <c r="AA48">
        <v>9</v>
      </c>
      <c r="AB48">
        <v>7</v>
      </c>
      <c r="AC48">
        <v>4</v>
      </c>
      <c r="AD48">
        <v>15</v>
      </c>
      <c r="AE48">
        <v>16</v>
      </c>
      <c r="AF48" t="s">
        <v>183</v>
      </c>
      <c r="AG48" t="s">
        <v>186</v>
      </c>
      <c r="AH48" t="s">
        <v>186</v>
      </c>
      <c r="AI48" t="s">
        <v>186</v>
      </c>
      <c r="AJ48">
        <v>3</v>
      </c>
      <c r="AK48">
        <v>0</v>
      </c>
      <c r="AL48" t="s">
        <v>234</v>
      </c>
      <c r="AM48">
        <v>182</v>
      </c>
      <c r="AN48">
        <v>4</v>
      </c>
      <c r="AO48">
        <v>106</v>
      </c>
      <c r="AP48">
        <v>30</v>
      </c>
      <c r="AQ48">
        <v>200</v>
      </c>
      <c r="AR48">
        <v>120</v>
      </c>
      <c r="AS48">
        <v>450</v>
      </c>
      <c r="AT48">
        <f t="shared" si="0"/>
        <v>3180</v>
      </c>
      <c r="AU48">
        <v>60</v>
      </c>
      <c r="AV48">
        <f t="shared" si="1"/>
        <v>424</v>
      </c>
      <c r="AW48">
        <f t="shared" si="2"/>
        <v>1590</v>
      </c>
      <c r="AX48">
        <f t="shared" si="3"/>
        <v>2730</v>
      </c>
      <c r="AY48">
        <v>1800</v>
      </c>
    </row>
    <row r="49" spans="1:51" x14ac:dyDescent="0.25">
      <c r="A49" t="s">
        <v>97</v>
      </c>
      <c r="B49" t="s">
        <v>104</v>
      </c>
      <c r="C49" s="1">
        <v>45934</v>
      </c>
      <c r="D49" t="s">
        <v>121</v>
      </c>
      <c r="E49" t="s">
        <v>116</v>
      </c>
      <c r="F49">
        <v>1</v>
      </c>
      <c r="G49">
        <v>1</v>
      </c>
      <c r="H49" t="s">
        <v>125</v>
      </c>
      <c r="I49">
        <v>1</v>
      </c>
      <c r="J49">
        <v>1</v>
      </c>
      <c r="K49" t="s">
        <v>125</v>
      </c>
      <c r="L49">
        <v>1.65</v>
      </c>
      <c r="M49">
        <v>4.0999999999999996</v>
      </c>
      <c r="N49">
        <v>4</v>
      </c>
      <c r="O49" t="s">
        <v>129</v>
      </c>
      <c r="P49" t="s">
        <v>129</v>
      </c>
      <c r="Q49">
        <v>15</v>
      </c>
      <c r="R49">
        <v>3</v>
      </c>
      <c r="S49">
        <v>13</v>
      </c>
      <c r="T49">
        <v>3</v>
      </c>
      <c r="U49">
        <v>1</v>
      </c>
      <c r="V49">
        <v>3</v>
      </c>
      <c r="W49">
        <v>0</v>
      </c>
      <c r="X49">
        <v>0</v>
      </c>
      <c r="Y49">
        <v>7</v>
      </c>
      <c r="Z49">
        <v>7</v>
      </c>
      <c r="AA49">
        <v>13</v>
      </c>
      <c r="AB49">
        <v>14</v>
      </c>
      <c r="AC49">
        <v>2</v>
      </c>
      <c r="AD49">
        <v>14</v>
      </c>
      <c r="AE49">
        <v>27</v>
      </c>
      <c r="AF49" t="s">
        <v>184</v>
      </c>
      <c r="AG49" t="s">
        <v>186</v>
      </c>
      <c r="AH49" t="s">
        <v>187</v>
      </c>
      <c r="AI49" t="s">
        <v>187</v>
      </c>
      <c r="AJ49">
        <v>4</v>
      </c>
      <c r="AK49">
        <v>0</v>
      </c>
      <c r="AL49" t="s">
        <v>235</v>
      </c>
      <c r="AM49">
        <v>30</v>
      </c>
      <c r="AN49">
        <v>2</v>
      </c>
      <c r="AO49">
        <v>16</v>
      </c>
      <c r="AP49">
        <v>40</v>
      </c>
      <c r="AQ49">
        <v>300</v>
      </c>
      <c r="AR49">
        <v>80</v>
      </c>
      <c r="AS49">
        <v>560</v>
      </c>
      <c r="AT49">
        <f t="shared" si="0"/>
        <v>640</v>
      </c>
      <c r="AU49">
        <v>28</v>
      </c>
      <c r="AV49">
        <f t="shared" si="1"/>
        <v>32</v>
      </c>
      <c r="AW49">
        <f t="shared" si="2"/>
        <v>224</v>
      </c>
      <c r="AX49">
        <f t="shared" si="3"/>
        <v>420</v>
      </c>
      <c r="AY49">
        <v>1120</v>
      </c>
    </row>
    <row r="50" spans="1:51" x14ac:dyDescent="0.25">
      <c r="A50" t="s">
        <v>98</v>
      </c>
      <c r="B50" t="s">
        <v>104</v>
      </c>
      <c r="C50" s="1">
        <v>45934</v>
      </c>
      <c r="D50" t="s">
        <v>109</v>
      </c>
      <c r="E50" t="s">
        <v>110</v>
      </c>
      <c r="F50">
        <v>2</v>
      </c>
      <c r="G50">
        <v>0</v>
      </c>
      <c r="H50" t="s">
        <v>123</v>
      </c>
      <c r="I50">
        <v>1</v>
      </c>
      <c r="J50">
        <v>0</v>
      </c>
      <c r="K50" t="s">
        <v>123</v>
      </c>
      <c r="L50">
        <v>1.65</v>
      </c>
      <c r="M50">
        <v>3.7</v>
      </c>
      <c r="N50">
        <v>4.5999999999999996</v>
      </c>
      <c r="O50" t="s">
        <v>134</v>
      </c>
      <c r="P50" t="s">
        <v>127</v>
      </c>
      <c r="Q50">
        <v>20</v>
      </c>
      <c r="R50">
        <v>3</v>
      </c>
      <c r="S50">
        <v>10</v>
      </c>
      <c r="T50">
        <v>3</v>
      </c>
      <c r="U50">
        <v>1</v>
      </c>
      <c r="V50">
        <v>3</v>
      </c>
      <c r="W50">
        <v>0</v>
      </c>
      <c r="X50">
        <v>0</v>
      </c>
      <c r="Y50">
        <v>4</v>
      </c>
      <c r="Z50">
        <v>4</v>
      </c>
      <c r="AA50">
        <v>11</v>
      </c>
      <c r="AB50">
        <v>13</v>
      </c>
      <c r="AC50">
        <v>2</v>
      </c>
      <c r="AD50">
        <v>8</v>
      </c>
      <c r="AE50">
        <v>24</v>
      </c>
      <c r="AF50" t="s">
        <v>185</v>
      </c>
      <c r="AG50" t="s">
        <v>186</v>
      </c>
      <c r="AH50" t="s">
        <v>187</v>
      </c>
      <c r="AI50" t="s">
        <v>187</v>
      </c>
      <c r="AJ50">
        <v>4</v>
      </c>
      <c r="AK50">
        <v>0</v>
      </c>
      <c r="AL50" t="s">
        <v>236</v>
      </c>
      <c r="AM50">
        <v>82</v>
      </c>
      <c r="AN50">
        <v>2</v>
      </c>
      <c r="AO50">
        <v>54</v>
      </c>
      <c r="AP50">
        <v>40</v>
      </c>
      <c r="AQ50">
        <v>300</v>
      </c>
      <c r="AR50">
        <v>80</v>
      </c>
      <c r="AS50">
        <v>320</v>
      </c>
      <c r="AT50">
        <f t="shared" si="0"/>
        <v>2160</v>
      </c>
      <c r="AU50">
        <v>16</v>
      </c>
      <c r="AV50">
        <f t="shared" si="1"/>
        <v>108</v>
      </c>
      <c r="AW50">
        <f t="shared" si="2"/>
        <v>432</v>
      </c>
      <c r="AX50">
        <f t="shared" si="3"/>
        <v>656</v>
      </c>
      <c r="AY50">
        <v>640</v>
      </c>
    </row>
    <row r="51" spans="1:51" x14ac:dyDescent="0.25">
      <c r="A51" t="s">
        <v>99</v>
      </c>
      <c r="B51" t="s">
        <v>104</v>
      </c>
      <c r="C51" s="1">
        <v>45934</v>
      </c>
      <c r="D51" t="s">
        <v>118</v>
      </c>
      <c r="E51" t="s">
        <v>111</v>
      </c>
      <c r="F51">
        <v>1</v>
      </c>
      <c r="G51">
        <v>0</v>
      </c>
      <c r="H51" t="s">
        <v>123</v>
      </c>
      <c r="I51">
        <v>1</v>
      </c>
      <c r="J51">
        <v>0</v>
      </c>
      <c r="K51" t="s">
        <v>123</v>
      </c>
      <c r="L51">
        <v>2.2000000000000002</v>
      </c>
      <c r="M51">
        <v>3.4</v>
      </c>
      <c r="N51">
        <v>2.88</v>
      </c>
      <c r="O51" t="s">
        <v>134</v>
      </c>
      <c r="P51" t="s">
        <v>134</v>
      </c>
      <c r="Q51">
        <v>15</v>
      </c>
      <c r="R51">
        <v>5</v>
      </c>
      <c r="S51">
        <v>13</v>
      </c>
      <c r="T51">
        <v>3</v>
      </c>
      <c r="U51">
        <v>3</v>
      </c>
      <c r="V51">
        <v>1</v>
      </c>
      <c r="W51">
        <v>0</v>
      </c>
      <c r="X51">
        <v>0</v>
      </c>
      <c r="Y51">
        <v>4</v>
      </c>
      <c r="Z51">
        <v>1</v>
      </c>
      <c r="AA51">
        <v>8</v>
      </c>
      <c r="AB51">
        <v>9</v>
      </c>
      <c r="AC51">
        <v>1</v>
      </c>
      <c r="AD51">
        <v>5</v>
      </c>
      <c r="AE51">
        <v>17</v>
      </c>
      <c r="AF51" t="s">
        <v>139</v>
      </c>
      <c r="AG51" t="s">
        <v>187</v>
      </c>
      <c r="AH51" t="s">
        <v>187</v>
      </c>
      <c r="AI51" t="s">
        <v>187</v>
      </c>
      <c r="AJ51">
        <v>4</v>
      </c>
      <c r="AK51">
        <v>0</v>
      </c>
      <c r="AL51" t="s">
        <v>237</v>
      </c>
      <c r="AM51">
        <v>2</v>
      </c>
      <c r="AN51">
        <v>1</v>
      </c>
      <c r="AO51">
        <v>7</v>
      </c>
      <c r="AP51">
        <v>40</v>
      </c>
      <c r="AQ51">
        <v>300</v>
      </c>
      <c r="AR51">
        <v>40</v>
      </c>
      <c r="AS51">
        <v>200</v>
      </c>
      <c r="AT51">
        <f t="shared" si="0"/>
        <v>280</v>
      </c>
      <c r="AU51">
        <v>5</v>
      </c>
      <c r="AV51">
        <f t="shared" si="1"/>
        <v>7</v>
      </c>
      <c r="AW51">
        <f t="shared" si="2"/>
        <v>35</v>
      </c>
      <c r="AX51">
        <f t="shared" si="3"/>
        <v>10</v>
      </c>
      <c r="AY51">
        <v>200</v>
      </c>
    </row>
    <row r="52" spans="1:51" x14ac:dyDescent="0.25">
      <c r="A52" t="s">
        <v>100</v>
      </c>
      <c r="B52" t="s">
        <v>104</v>
      </c>
      <c r="C52" s="1">
        <v>45934</v>
      </c>
      <c r="D52" t="s">
        <v>106</v>
      </c>
      <c r="E52" t="s">
        <v>105</v>
      </c>
      <c r="F52">
        <v>0</v>
      </c>
      <c r="G52">
        <v>3</v>
      </c>
      <c r="H52" t="s">
        <v>124</v>
      </c>
      <c r="I52">
        <v>0</v>
      </c>
      <c r="J52">
        <v>2</v>
      </c>
      <c r="K52" t="s">
        <v>124</v>
      </c>
      <c r="L52">
        <v>5.75</v>
      </c>
      <c r="M52">
        <v>4.8</v>
      </c>
      <c r="N52">
        <v>1.4</v>
      </c>
      <c r="O52" t="s">
        <v>132</v>
      </c>
      <c r="P52" t="s">
        <v>128</v>
      </c>
      <c r="Q52">
        <v>6</v>
      </c>
      <c r="R52">
        <v>1</v>
      </c>
      <c r="S52">
        <v>12</v>
      </c>
      <c r="T52">
        <v>3</v>
      </c>
      <c r="U52">
        <v>1</v>
      </c>
      <c r="V52">
        <v>2</v>
      </c>
      <c r="W52">
        <v>0</v>
      </c>
      <c r="X52">
        <v>0</v>
      </c>
      <c r="Y52">
        <v>4</v>
      </c>
      <c r="Z52">
        <v>3</v>
      </c>
      <c r="AA52">
        <v>11</v>
      </c>
      <c r="AB52">
        <v>11</v>
      </c>
      <c r="AC52">
        <v>3</v>
      </c>
      <c r="AD52">
        <v>7</v>
      </c>
      <c r="AE52">
        <v>22</v>
      </c>
      <c r="AF52" t="s">
        <v>159</v>
      </c>
      <c r="AG52" t="s">
        <v>186</v>
      </c>
      <c r="AH52" t="s">
        <v>186</v>
      </c>
      <c r="AI52" t="s">
        <v>187</v>
      </c>
      <c r="AJ52">
        <v>3</v>
      </c>
      <c r="AK52">
        <v>0</v>
      </c>
      <c r="AL52" t="s">
        <v>238</v>
      </c>
      <c r="AM52">
        <v>112</v>
      </c>
      <c r="AN52">
        <v>3</v>
      </c>
      <c r="AO52">
        <v>37</v>
      </c>
      <c r="AP52">
        <v>30</v>
      </c>
      <c r="AQ52">
        <v>200</v>
      </c>
      <c r="AR52">
        <v>90</v>
      </c>
      <c r="AS52">
        <v>210</v>
      </c>
      <c r="AT52">
        <f t="shared" si="0"/>
        <v>1110</v>
      </c>
      <c r="AU52">
        <v>21</v>
      </c>
      <c r="AV52">
        <f t="shared" si="1"/>
        <v>111</v>
      </c>
      <c r="AW52">
        <f t="shared" si="2"/>
        <v>259</v>
      </c>
      <c r="AX52">
        <f t="shared" si="3"/>
        <v>784</v>
      </c>
      <c r="AY52">
        <v>630</v>
      </c>
    </row>
    <row r="53" spans="1:51" x14ac:dyDescent="0.25">
      <c r="A53" t="s">
        <v>101</v>
      </c>
      <c r="B53" t="s">
        <v>104</v>
      </c>
      <c r="C53" s="1">
        <v>45935</v>
      </c>
      <c r="D53" t="s">
        <v>117</v>
      </c>
      <c r="E53" t="s">
        <v>108</v>
      </c>
      <c r="F53">
        <v>1</v>
      </c>
      <c r="G53">
        <v>0</v>
      </c>
      <c r="H53" t="s">
        <v>123</v>
      </c>
      <c r="I53">
        <v>0</v>
      </c>
      <c r="J53">
        <v>0</v>
      </c>
      <c r="K53" t="s">
        <v>125</v>
      </c>
      <c r="L53">
        <v>1.4</v>
      </c>
      <c r="M53">
        <v>4.5999999999999996</v>
      </c>
      <c r="N53">
        <v>6</v>
      </c>
      <c r="O53" t="s">
        <v>131</v>
      </c>
      <c r="P53" t="s">
        <v>134</v>
      </c>
      <c r="Q53">
        <v>18</v>
      </c>
      <c r="R53">
        <v>6</v>
      </c>
      <c r="S53">
        <v>5</v>
      </c>
      <c r="T53">
        <v>1</v>
      </c>
      <c r="U53">
        <v>1</v>
      </c>
      <c r="V53">
        <v>1</v>
      </c>
      <c r="W53">
        <v>0</v>
      </c>
      <c r="X53">
        <v>0</v>
      </c>
      <c r="Y53">
        <v>1</v>
      </c>
      <c r="Z53">
        <v>1</v>
      </c>
      <c r="AA53">
        <v>11</v>
      </c>
      <c r="AB53">
        <v>12</v>
      </c>
      <c r="AC53">
        <v>1</v>
      </c>
      <c r="AD53">
        <v>2</v>
      </c>
      <c r="AE53">
        <v>23</v>
      </c>
      <c r="AF53" t="s">
        <v>129</v>
      </c>
      <c r="AG53" t="s">
        <v>187</v>
      </c>
      <c r="AH53" t="s">
        <v>187</v>
      </c>
      <c r="AI53" t="s">
        <v>187</v>
      </c>
      <c r="AJ53">
        <v>2</v>
      </c>
      <c r="AK53">
        <v>0</v>
      </c>
      <c r="AL53" t="s">
        <v>239</v>
      </c>
      <c r="AM53">
        <v>65</v>
      </c>
      <c r="AN53">
        <v>1</v>
      </c>
      <c r="AO53">
        <v>11</v>
      </c>
      <c r="AP53">
        <v>20</v>
      </c>
      <c r="AQ53">
        <v>100</v>
      </c>
      <c r="AR53">
        <v>20</v>
      </c>
      <c r="AS53">
        <v>40</v>
      </c>
      <c r="AT53">
        <f t="shared" si="0"/>
        <v>220</v>
      </c>
      <c r="AU53">
        <v>2</v>
      </c>
      <c r="AV53">
        <f t="shared" si="1"/>
        <v>11</v>
      </c>
      <c r="AW53">
        <f t="shared" si="2"/>
        <v>22</v>
      </c>
      <c r="AX53">
        <f t="shared" si="3"/>
        <v>130</v>
      </c>
      <c r="AY53">
        <v>40</v>
      </c>
    </row>
    <row r="54" spans="1:51" x14ac:dyDescent="0.25">
      <c r="A54" t="s">
        <v>102</v>
      </c>
      <c r="B54" t="s">
        <v>104</v>
      </c>
      <c r="C54" s="1">
        <v>45935</v>
      </c>
      <c r="D54" t="s">
        <v>114</v>
      </c>
      <c r="E54" t="s">
        <v>112</v>
      </c>
      <c r="F54">
        <v>4</v>
      </c>
      <c r="G54">
        <v>0</v>
      </c>
      <c r="H54" t="s">
        <v>123</v>
      </c>
      <c r="I54">
        <v>2</v>
      </c>
      <c r="J54">
        <v>0</v>
      </c>
      <c r="K54" t="s">
        <v>123</v>
      </c>
      <c r="L54">
        <v>2.7</v>
      </c>
      <c r="M54">
        <v>3.4</v>
      </c>
      <c r="N54">
        <v>2.2999999999999998</v>
      </c>
      <c r="O54" t="s">
        <v>127</v>
      </c>
      <c r="P54" t="s">
        <v>135</v>
      </c>
      <c r="Q54">
        <v>15</v>
      </c>
      <c r="R54">
        <v>9</v>
      </c>
      <c r="S54">
        <v>11</v>
      </c>
      <c r="T54">
        <v>4</v>
      </c>
      <c r="U54">
        <v>2</v>
      </c>
      <c r="V54">
        <v>3</v>
      </c>
      <c r="W54">
        <v>0</v>
      </c>
      <c r="X54">
        <v>0</v>
      </c>
      <c r="Y54">
        <v>1</v>
      </c>
      <c r="Z54">
        <v>4</v>
      </c>
      <c r="AA54">
        <v>14</v>
      </c>
      <c r="AB54">
        <v>13</v>
      </c>
      <c r="AC54">
        <v>4</v>
      </c>
      <c r="AD54">
        <v>5</v>
      </c>
      <c r="AE54">
        <v>27</v>
      </c>
      <c r="AF54" t="s">
        <v>147</v>
      </c>
      <c r="AG54" t="s">
        <v>186</v>
      </c>
      <c r="AH54" t="s">
        <v>186</v>
      </c>
      <c r="AI54" t="s">
        <v>186</v>
      </c>
      <c r="AJ54">
        <v>5</v>
      </c>
      <c r="AK54">
        <v>0</v>
      </c>
      <c r="AL54" t="s">
        <v>240</v>
      </c>
      <c r="AM54">
        <v>129</v>
      </c>
      <c r="AN54">
        <v>4</v>
      </c>
      <c r="AO54">
        <v>41</v>
      </c>
      <c r="AP54">
        <v>50</v>
      </c>
      <c r="AQ54">
        <v>600</v>
      </c>
      <c r="AR54">
        <v>200</v>
      </c>
      <c r="AS54">
        <v>250</v>
      </c>
      <c r="AT54">
        <f t="shared" si="0"/>
        <v>2050</v>
      </c>
      <c r="AU54">
        <v>20</v>
      </c>
      <c r="AV54">
        <f t="shared" si="1"/>
        <v>164</v>
      </c>
      <c r="AW54">
        <f t="shared" si="2"/>
        <v>205</v>
      </c>
      <c r="AX54">
        <f t="shared" si="3"/>
        <v>645</v>
      </c>
      <c r="AY54">
        <v>1000</v>
      </c>
    </row>
    <row r="55" spans="1:51" x14ac:dyDescent="0.25">
      <c r="A55" t="s">
        <v>103</v>
      </c>
      <c r="B55" t="s">
        <v>104</v>
      </c>
      <c r="C55" s="1">
        <v>45935</v>
      </c>
      <c r="D55" t="s">
        <v>113</v>
      </c>
      <c r="E55" t="s">
        <v>107</v>
      </c>
      <c r="F55">
        <v>0</v>
      </c>
      <c r="G55">
        <v>0</v>
      </c>
      <c r="H55" t="s">
        <v>125</v>
      </c>
      <c r="I55">
        <v>0</v>
      </c>
      <c r="J55">
        <v>0</v>
      </c>
      <c r="K55" t="s">
        <v>125</v>
      </c>
      <c r="L55">
        <v>2.25</v>
      </c>
      <c r="M55">
        <v>3.4</v>
      </c>
      <c r="N55">
        <v>2.8</v>
      </c>
      <c r="O55" t="s">
        <v>131</v>
      </c>
      <c r="P55" t="s">
        <v>131</v>
      </c>
      <c r="Q55">
        <v>9</v>
      </c>
      <c r="R55">
        <v>5</v>
      </c>
      <c r="S55">
        <v>12</v>
      </c>
      <c r="T55">
        <v>1</v>
      </c>
      <c r="U55">
        <v>3</v>
      </c>
      <c r="V55">
        <v>1</v>
      </c>
      <c r="W55">
        <v>0</v>
      </c>
      <c r="X55">
        <v>0</v>
      </c>
      <c r="Y55">
        <v>4</v>
      </c>
      <c r="Z55">
        <v>1</v>
      </c>
      <c r="AA55">
        <v>15</v>
      </c>
      <c r="AB55">
        <v>7</v>
      </c>
      <c r="AC55">
        <v>0</v>
      </c>
      <c r="AD55">
        <v>5</v>
      </c>
      <c r="AE55">
        <v>22</v>
      </c>
      <c r="AF55" t="s">
        <v>139</v>
      </c>
      <c r="AG55" t="s">
        <v>187</v>
      </c>
      <c r="AH55" t="s">
        <v>187</v>
      </c>
      <c r="AI55" t="s">
        <v>187</v>
      </c>
      <c r="AJ55">
        <v>4</v>
      </c>
      <c r="AK55">
        <v>0</v>
      </c>
      <c r="AL55" t="s">
        <v>241</v>
      </c>
      <c r="AM55">
        <v>0</v>
      </c>
      <c r="AN55">
        <v>0</v>
      </c>
      <c r="AO55">
        <v>0</v>
      </c>
      <c r="AP55">
        <v>40</v>
      </c>
      <c r="AQ55">
        <v>300</v>
      </c>
      <c r="AR55">
        <v>0</v>
      </c>
      <c r="AS55">
        <v>200</v>
      </c>
      <c r="AT55">
        <f t="shared" si="0"/>
        <v>0</v>
      </c>
      <c r="AU55">
        <v>0</v>
      </c>
      <c r="AV55">
        <f t="shared" si="1"/>
        <v>0</v>
      </c>
      <c r="AW55">
        <f t="shared" si="2"/>
        <v>0</v>
      </c>
      <c r="AX55">
        <f t="shared" si="3"/>
        <v>0</v>
      </c>
      <c r="AY5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Kovan</cp:lastModifiedBy>
  <dcterms:created xsi:type="dcterms:W3CDTF">2025-10-12T11:39:53Z</dcterms:created>
  <dcterms:modified xsi:type="dcterms:W3CDTF">2025-10-12T14:03:25Z</dcterms:modified>
</cp:coreProperties>
</file>